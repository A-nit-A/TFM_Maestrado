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4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5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tables/table2.xml" ContentType="application/vnd.openxmlformats-officedocument.spreadsheetml.tab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7.xml" ContentType="application/vnd.openxmlformats-officedocument.drawing+xml"/>
  <Override PartName="/xl/tables/table3.xml" ContentType="application/vnd.openxmlformats-officedocument.spreadsheetml.tab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8.xml" ContentType="application/vnd.openxmlformats-officedocument.drawing+xml"/>
  <Override PartName="/xl/tables/table4.xml" ContentType="application/vnd.openxmlformats-officedocument.spreadsheetml.tab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9.xml" ContentType="application/vnd.openxmlformats-officedocument.drawing+xml"/>
  <Override PartName="/xl/tables/table5.xml" ContentType="application/vnd.openxmlformats-officedocument.spreadsheetml.tab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0.xml" ContentType="application/vnd.openxmlformats-officedocument.drawing+xml"/>
  <Override PartName="/xl/tables/table6.xml" ContentType="application/vnd.openxmlformats-officedocument.spreadsheetml.tab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universidadevigo-my.sharepoint.com/personal/ricardo_rodriguez_alumnado_uvigo_gal/Documents/_TFM/Encuesta/"/>
    </mc:Choice>
  </mc:AlternateContent>
  <xr:revisionPtr revIDLastSave="759" documentId="11_0554189CB7A9817FE1E6945A01F126183076A39F" xr6:coauthVersionLast="47" xr6:coauthVersionMax="47" xr10:uidLastSave="{94E485F0-CE6A-495D-89C2-56F98BCEC86C}"/>
  <bookViews>
    <workbookView xWindow="50610" yWindow="0" windowWidth="22280" windowHeight="13770" xr2:uid="{00000000-000D-0000-FFFF-FFFF00000000}"/>
  </bookViews>
  <sheets>
    <sheet name="Graph" sheetId="7" r:id="rId1"/>
    <sheet name="Resp" sheetId="1" r:id="rId2"/>
    <sheet name="1Year" sheetId="2" r:id="rId3"/>
    <sheet name="1Year3" sheetId="8" r:id="rId4"/>
    <sheet name="3Year7" sheetId="9" r:id="rId5"/>
    <sheet name="ChatGPT" sheetId="10" r:id="rId6"/>
    <sheet name="Claude" sheetId="12" r:id="rId7"/>
    <sheet name="Gemini" sheetId="13" r:id="rId8"/>
    <sheet name="Mistral" sheetId="14" r:id="rId9"/>
    <sheet name="Qwen" sheetId="15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00" i="7" l="1"/>
  <c r="I100" i="7"/>
  <c r="J100" i="7"/>
  <c r="K100" i="7"/>
  <c r="H99" i="7"/>
  <c r="I99" i="7"/>
  <c r="J99" i="7"/>
  <c r="K99" i="7"/>
  <c r="H98" i="7"/>
  <c r="I98" i="7"/>
  <c r="J98" i="7"/>
  <c r="K98" i="7"/>
  <c r="H97" i="7"/>
  <c r="I97" i="7"/>
  <c r="J97" i="7"/>
  <c r="K97" i="7"/>
  <c r="G100" i="7"/>
  <c r="G99" i="7"/>
  <c r="G98" i="7"/>
  <c r="G97" i="7"/>
  <c r="H101" i="7"/>
  <c r="I101" i="7"/>
  <c r="J101" i="7"/>
  <c r="K101" i="7"/>
  <c r="G101" i="7"/>
  <c r="Z3" i="15"/>
  <c r="Y3" i="15"/>
  <c r="X3" i="15"/>
  <c r="W3" i="15"/>
  <c r="W2" i="15"/>
  <c r="V3" i="15"/>
  <c r="U3" i="15"/>
  <c r="T3" i="15"/>
  <c r="S2" i="15" s="1"/>
  <c r="S3" i="15"/>
  <c r="R3" i="15"/>
  <c r="Q3" i="15"/>
  <c r="P3" i="15"/>
  <c r="O3" i="15"/>
  <c r="O2" i="15"/>
  <c r="N3" i="15"/>
  <c r="M3" i="15"/>
  <c r="L3" i="15"/>
  <c r="K3" i="15"/>
  <c r="H23" i="15" s="1" a="1"/>
  <c r="H23" i="15" s="1"/>
  <c r="K2" i="15"/>
  <c r="J3" i="15"/>
  <c r="G26" i="15" s="1" a="1"/>
  <c r="G26" i="15" s="1"/>
  <c r="I3" i="15"/>
  <c r="H3" i="15"/>
  <c r="G3" i="15"/>
  <c r="G2" i="15" s="1"/>
  <c r="E31" i="15"/>
  <c r="D31" i="15"/>
  <c r="C31" i="15"/>
  <c r="B31" i="15"/>
  <c r="AF29" i="15"/>
  <c r="K26" i="15" a="1"/>
  <c r="K26" i="15" s="1"/>
  <c r="H26" i="15" a="1"/>
  <c r="H26" i="15" s="1"/>
  <c r="K25" i="15" a="1"/>
  <c r="K25" i="15" s="1"/>
  <c r="J25" i="15" a="1"/>
  <c r="J25" i="15" s="1"/>
  <c r="K24" i="15" a="1"/>
  <c r="K24" i="15" s="1"/>
  <c r="H24" i="15" a="1"/>
  <c r="H24" i="15" s="1"/>
  <c r="G24" i="15" a="1"/>
  <c r="G24" i="15" s="1"/>
  <c r="K23" i="15" a="1"/>
  <c r="K23" i="15" s="1"/>
  <c r="J23" i="15" a="1"/>
  <c r="J23" i="15" s="1"/>
  <c r="G23" i="15" a="1"/>
  <c r="G23" i="15" s="1"/>
  <c r="K22" i="15"/>
  <c r="J22" i="15"/>
  <c r="J26" i="15" s="1" a="1"/>
  <c r="J26" i="15" s="1"/>
  <c r="I22" i="15"/>
  <c r="I25" i="15" s="1" a="1"/>
  <c r="I25" i="15" s="1"/>
  <c r="H22" i="15"/>
  <c r="G22" i="15"/>
  <c r="H25" i="15" a="1"/>
  <c r="H25" i="15" s="1"/>
  <c r="G25" i="15" a="1"/>
  <c r="G25" i="15" s="1"/>
  <c r="D3" i="15"/>
  <c r="C3" i="15"/>
  <c r="Z3" i="14"/>
  <c r="K26" i="14" s="1" a="1"/>
  <c r="K26" i="14" s="1"/>
  <c r="Y3" i="14"/>
  <c r="K25" i="14" s="1" a="1"/>
  <c r="K25" i="14" s="1"/>
  <c r="X3" i="14"/>
  <c r="K24" i="14" s="1" a="1"/>
  <c r="K24" i="14" s="1"/>
  <c r="W3" i="14"/>
  <c r="K23" i="14" s="1" a="1"/>
  <c r="K23" i="14" s="1"/>
  <c r="W2" i="14"/>
  <c r="V3" i="14"/>
  <c r="S2" i="14" s="1"/>
  <c r="U3" i="14"/>
  <c r="T3" i="14"/>
  <c r="S3" i="14"/>
  <c r="R3" i="14"/>
  <c r="O2" i="14" s="1"/>
  <c r="Q3" i="14"/>
  <c r="P3" i="14"/>
  <c r="O3" i="14"/>
  <c r="N3" i="14"/>
  <c r="K2" i="14" s="1"/>
  <c r="M3" i="14"/>
  <c r="L3" i="14"/>
  <c r="K3" i="14"/>
  <c r="J3" i="14"/>
  <c r="I3" i="14"/>
  <c r="H3" i="14"/>
  <c r="G3" i="14"/>
  <c r="G2" i="14"/>
  <c r="E31" i="14"/>
  <c r="D31" i="14"/>
  <c r="C31" i="14"/>
  <c r="B31" i="14"/>
  <c r="AF29" i="14"/>
  <c r="G26" i="14" a="1"/>
  <c r="G26" i="14" s="1"/>
  <c r="J25" i="14" a="1"/>
  <c r="J25" i="14" s="1"/>
  <c r="I24" i="14" a="1"/>
  <c r="I24" i="14" s="1"/>
  <c r="H24" i="14" a="1"/>
  <c r="H24" i="14" s="1"/>
  <c r="G24" i="14" a="1"/>
  <c r="G24" i="14" s="1"/>
  <c r="K22" i="14"/>
  <c r="J22" i="14"/>
  <c r="I22" i="14"/>
  <c r="I25" i="14" s="1" a="1"/>
  <c r="I25" i="14" s="1"/>
  <c r="H22" i="14"/>
  <c r="H25" i="14" s="1" a="1"/>
  <c r="H25" i="14" s="1"/>
  <c r="G22" i="14"/>
  <c r="I26" i="14" a="1"/>
  <c r="I26" i="14" s="1"/>
  <c r="D3" i="14"/>
  <c r="C3" i="14"/>
  <c r="Z3" i="13"/>
  <c r="K26" i="13" s="1" a="1"/>
  <c r="K26" i="13" s="1"/>
  <c r="Y3" i="13"/>
  <c r="K25" i="13" s="1" a="1"/>
  <c r="K25" i="13" s="1"/>
  <c r="X3" i="13"/>
  <c r="K24" i="13" s="1" a="1"/>
  <c r="K24" i="13" s="1"/>
  <c r="W3" i="13"/>
  <c r="K23" i="13" s="1" a="1"/>
  <c r="K23" i="13" s="1"/>
  <c r="W2" i="13"/>
  <c r="V3" i="13"/>
  <c r="U3" i="13"/>
  <c r="T3" i="13"/>
  <c r="S3" i="13"/>
  <c r="S2" i="13"/>
  <c r="R3" i="13"/>
  <c r="Q3" i="13"/>
  <c r="P3" i="13"/>
  <c r="I24" i="13" s="1" a="1"/>
  <c r="I24" i="13" s="1"/>
  <c r="O3" i="13"/>
  <c r="O2" i="13" s="1"/>
  <c r="N3" i="13"/>
  <c r="M3" i="13"/>
  <c r="H25" i="13" s="1" a="1"/>
  <c r="H25" i="13" s="1"/>
  <c r="L3" i="13"/>
  <c r="K3" i="13"/>
  <c r="K2" i="13"/>
  <c r="J3" i="13"/>
  <c r="I3" i="13"/>
  <c r="H3" i="13"/>
  <c r="G3" i="13"/>
  <c r="G2" i="13"/>
  <c r="E31" i="13"/>
  <c r="D31" i="13"/>
  <c r="C31" i="13"/>
  <c r="B31" i="13"/>
  <c r="AF29" i="13"/>
  <c r="H26" i="13" a="1"/>
  <c r="H26" i="13" s="1"/>
  <c r="G26" i="13" a="1"/>
  <c r="G26" i="13" s="1"/>
  <c r="J25" i="13" a="1"/>
  <c r="J25" i="13" s="1"/>
  <c r="G25" i="13" a="1"/>
  <c r="G25" i="13" s="1"/>
  <c r="H24" i="13" a="1"/>
  <c r="H24" i="13" s="1"/>
  <c r="G24" i="13" a="1"/>
  <c r="G24" i="13" s="1"/>
  <c r="J23" i="13" a="1"/>
  <c r="J23" i="13" s="1"/>
  <c r="H23" i="13" a="1"/>
  <c r="H23" i="13" s="1"/>
  <c r="G23" i="13" a="1"/>
  <c r="G23" i="13" s="1"/>
  <c r="K22" i="13"/>
  <c r="J22" i="13"/>
  <c r="J26" i="13" s="1" a="1"/>
  <c r="J26" i="13" s="1"/>
  <c r="I22" i="13"/>
  <c r="H22" i="13"/>
  <c r="G22" i="13"/>
  <c r="I26" i="13" a="1"/>
  <c r="I26" i="13" s="1"/>
  <c r="I25" i="13" a="1"/>
  <c r="I25" i="13" s="1"/>
  <c r="I23" i="13" a="1"/>
  <c r="I23" i="13" s="1"/>
  <c r="D3" i="13"/>
  <c r="C3" i="13"/>
  <c r="K22" i="12"/>
  <c r="J22" i="12"/>
  <c r="I22" i="12"/>
  <c r="H22" i="12"/>
  <c r="G22" i="12"/>
  <c r="Z3" i="12"/>
  <c r="Y3" i="12"/>
  <c r="X3" i="12"/>
  <c r="W3" i="12"/>
  <c r="W2" i="12" s="1"/>
  <c r="V3" i="12"/>
  <c r="S2" i="12" s="1"/>
  <c r="U3" i="12"/>
  <c r="T3" i="12"/>
  <c r="S3" i="12"/>
  <c r="R3" i="12"/>
  <c r="Q3" i="12"/>
  <c r="P3" i="12"/>
  <c r="O3" i="12"/>
  <c r="N3" i="12"/>
  <c r="M3" i="12"/>
  <c r="L3" i="12"/>
  <c r="K3" i="12"/>
  <c r="K2" i="12"/>
  <c r="I25" i="12" a="1"/>
  <c r="I25" i="12" s="1"/>
  <c r="J24" i="12" a="1"/>
  <c r="J24" i="12" s="1"/>
  <c r="J3" i="12"/>
  <c r="I3" i="12"/>
  <c r="H3" i="12"/>
  <c r="G3" i="12"/>
  <c r="G2" i="12" s="1"/>
  <c r="E31" i="12"/>
  <c r="D31" i="12"/>
  <c r="C31" i="12"/>
  <c r="B31" i="12"/>
  <c r="AF29" i="12"/>
  <c r="K26" i="12" a="1"/>
  <c r="K26" i="12" s="1"/>
  <c r="D3" i="12"/>
  <c r="C3" i="12"/>
  <c r="H22" i="10"/>
  <c r="I22" i="10"/>
  <c r="J22" i="10"/>
  <c r="K22" i="10"/>
  <c r="G22" i="10"/>
  <c r="E31" i="10"/>
  <c r="D31" i="10"/>
  <c r="C31" i="10"/>
  <c r="B31" i="10"/>
  <c r="AG29" i="10"/>
  <c r="AG21" i="10"/>
  <c r="AG20" i="10"/>
  <c r="AG19" i="10"/>
  <c r="AG18" i="10"/>
  <c r="AG17" i="10"/>
  <c r="AG16" i="10"/>
  <c r="AG15" i="10"/>
  <c r="AG13" i="10"/>
  <c r="AG12" i="10"/>
  <c r="AG11" i="10"/>
  <c r="AG10" i="10"/>
  <c r="AG9" i="10"/>
  <c r="AG8" i="10"/>
  <c r="AG7" i="10"/>
  <c r="AG6" i="10"/>
  <c r="AG5" i="10"/>
  <c r="Z3" i="10"/>
  <c r="Y3" i="10"/>
  <c r="X3" i="10"/>
  <c r="W3" i="10"/>
  <c r="V3" i="10"/>
  <c r="U3" i="10"/>
  <c r="T3" i="10"/>
  <c r="S3" i="10"/>
  <c r="R3" i="10"/>
  <c r="Q3" i="10"/>
  <c r="P3" i="10"/>
  <c r="O3" i="10"/>
  <c r="N3" i="10"/>
  <c r="M3" i="10"/>
  <c r="L3" i="10"/>
  <c r="K3" i="10"/>
  <c r="AI7" i="10"/>
  <c r="J3" i="10"/>
  <c r="I3" i="10"/>
  <c r="H3" i="10"/>
  <c r="G3" i="10"/>
  <c r="AI5" i="10"/>
  <c r="D3" i="10"/>
  <c r="C3" i="10"/>
  <c r="G74" i="7"/>
  <c r="G73" i="7"/>
  <c r="G61" i="7"/>
  <c r="G62" i="7"/>
  <c r="G63" i="7"/>
  <c r="G64" i="7"/>
  <c r="G60" i="7"/>
  <c r="G50" i="7"/>
  <c r="G51" i="7"/>
  <c r="G52" i="7"/>
  <c r="G53" i="7"/>
  <c r="G49" i="7"/>
  <c r="K10" i="7"/>
  <c r="J16" i="7"/>
  <c r="K8" i="7"/>
  <c r="K9" i="7"/>
  <c r="K11" i="7"/>
  <c r="K12" i="7"/>
  <c r="K13" i="7"/>
  <c r="K14" i="7"/>
  <c r="K15" i="7"/>
  <c r="K16" i="7"/>
  <c r="K17" i="7"/>
  <c r="K18" i="7"/>
  <c r="K19" i="7"/>
  <c r="K20" i="7"/>
  <c r="K21" i="7"/>
  <c r="K22" i="7"/>
  <c r="K23" i="7"/>
  <c r="K24" i="7"/>
  <c r="K25" i="7"/>
  <c r="K26" i="7"/>
  <c r="K27" i="7"/>
  <c r="K28" i="7"/>
  <c r="K29" i="7"/>
  <c r="K30" i="7"/>
  <c r="K31" i="7"/>
  <c r="K32" i="7"/>
  <c r="K7" i="7"/>
  <c r="J8" i="7"/>
  <c r="J9" i="7"/>
  <c r="J10" i="7"/>
  <c r="J11" i="7"/>
  <c r="J12" i="7"/>
  <c r="J13" i="7"/>
  <c r="J14" i="7"/>
  <c r="J15" i="7"/>
  <c r="J17" i="7"/>
  <c r="J18" i="7"/>
  <c r="J19" i="7"/>
  <c r="J20" i="7"/>
  <c r="J21" i="7"/>
  <c r="J22" i="7"/>
  <c r="J23" i="7"/>
  <c r="J24" i="7"/>
  <c r="J25" i="7"/>
  <c r="J26" i="7"/>
  <c r="J27" i="7"/>
  <c r="J28" i="7"/>
  <c r="J29" i="7"/>
  <c r="J30" i="7"/>
  <c r="J31" i="7"/>
  <c r="J32" i="7"/>
  <c r="J7" i="7"/>
  <c r="H41" i="7"/>
  <c r="G41" i="7"/>
  <c r="F41" i="7"/>
  <c r="B5" i="9" a="1"/>
  <c r="B5" i="9" s="1"/>
  <c r="K31" i="9"/>
  <c r="J31" i="9"/>
  <c r="I31" i="9"/>
  <c r="H31" i="9"/>
  <c r="AF22" i="9"/>
  <c r="AE22" i="9"/>
  <c r="AD22" i="9"/>
  <c r="AC22" i="9"/>
  <c r="AB22" i="9"/>
  <c r="AA22" i="9"/>
  <c r="Z22" i="9"/>
  <c r="Y22" i="9"/>
  <c r="X22" i="9"/>
  <c r="W22" i="9"/>
  <c r="V22" i="9"/>
  <c r="U22" i="9"/>
  <c r="T22" i="9"/>
  <c r="S22" i="9"/>
  <c r="R22" i="9"/>
  <c r="Q22" i="9"/>
  <c r="P22" i="9"/>
  <c r="O22" i="9"/>
  <c r="N22" i="9"/>
  <c r="M22" i="9"/>
  <c r="L22" i="9"/>
  <c r="K22" i="9"/>
  <c r="J22" i="9"/>
  <c r="I22" i="9"/>
  <c r="H22" i="9"/>
  <c r="B5" i="8" a="1"/>
  <c r="B5" i="8" s="1"/>
  <c r="K31" i="8"/>
  <c r="J31" i="8"/>
  <c r="I31" i="8"/>
  <c r="H31" i="8"/>
  <c r="AF22" i="8"/>
  <c r="AE22" i="8"/>
  <c r="AD22" i="8"/>
  <c r="AC22" i="8"/>
  <c r="AB22" i="8"/>
  <c r="AA22" i="8"/>
  <c r="Z22" i="8"/>
  <c r="Y22" i="8"/>
  <c r="X22" i="8"/>
  <c r="W22" i="8"/>
  <c r="V22" i="8"/>
  <c r="U22" i="8"/>
  <c r="T22" i="8"/>
  <c r="S22" i="8"/>
  <c r="R22" i="8"/>
  <c r="Q22" i="8"/>
  <c r="P22" i="8"/>
  <c r="O22" i="8"/>
  <c r="N22" i="8"/>
  <c r="M22" i="8"/>
  <c r="L22" i="8"/>
  <c r="K22" i="8"/>
  <c r="J22" i="8"/>
  <c r="I22" i="8"/>
  <c r="H22" i="8"/>
  <c r="K31" i="1"/>
  <c r="J31" i="1"/>
  <c r="I31" i="1"/>
  <c r="H31" i="1"/>
  <c r="H3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W3" i="1"/>
  <c r="X3" i="1"/>
  <c r="Y3" i="1"/>
  <c r="Z3" i="1"/>
  <c r="AA3" i="1"/>
  <c r="AB3" i="1"/>
  <c r="AC3" i="1"/>
  <c r="AD3" i="1"/>
  <c r="AE3" i="1"/>
  <c r="AF3" i="1"/>
  <c r="AG3" i="1"/>
  <c r="AH3" i="1"/>
  <c r="AI3" i="1"/>
  <c r="AJ3" i="1"/>
  <c r="AK3" i="1"/>
  <c r="O25" i="1" s="1" a="1"/>
  <c r="O25" i="1" s="1"/>
  <c r="AL3" i="1"/>
  <c r="AM3" i="1"/>
  <c r="P23" i="1" s="1" a="1"/>
  <c r="P23" i="1" s="1"/>
  <c r="AN3" i="1"/>
  <c r="AO3" i="1"/>
  <c r="P25" i="1" s="1" a="1"/>
  <c r="P25" i="1" s="1"/>
  <c r="AP3" i="1"/>
  <c r="P26" i="1" s="1" a="1"/>
  <c r="P26" i="1" s="1"/>
  <c r="AQ3" i="1"/>
  <c r="Q23" i="1" s="1" a="1"/>
  <c r="Q23" i="1" s="1"/>
  <c r="AR3" i="1"/>
  <c r="Q24" i="1" s="1" a="1"/>
  <c r="Q24" i="1" s="1"/>
  <c r="AS3" i="1"/>
  <c r="Q25" i="1" s="1" a="1"/>
  <c r="Q25" i="1" s="1"/>
  <c r="AT3" i="1"/>
  <c r="AU3" i="1"/>
  <c r="AV3" i="1"/>
  <c r="AW3" i="1"/>
  <c r="AX3" i="1"/>
  <c r="AY3" i="1"/>
  <c r="AZ3" i="1"/>
  <c r="BA3" i="1"/>
  <c r="BB3" i="1"/>
  <c r="BC3" i="1"/>
  <c r="BD3" i="1"/>
  <c r="BE3" i="1"/>
  <c r="BF3" i="1"/>
  <c r="BG3" i="1"/>
  <c r="BH3" i="1"/>
  <c r="BI3" i="1"/>
  <c r="BJ3" i="1"/>
  <c r="BK3" i="1"/>
  <c r="BL3" i="1"/>
  <c r="V24" i="1" s="1" a="1"/>
  <c r="V24" i="1" s="1"/>
  <c r="BM3" i="1"/>
  <c r="V25" i="1" s="1" a="1"/>
  <c r="V25" i="1" s="1"/>
  <c r="BN3" i="1"/>
  <c r="BO3" i="1"/>
  <c r="BP3" i="1"/>
  <c r="BQ3" i="1"/>
  <c r="BR3" i="1"/>
  <c r="BS3" i="1"/>
  <c r="BT3" i="1"/>
  <c r="BU3" i="1"/>
  <c r="X25" i="1" s="1" a="1"/>
  <c r="X25" i="1" s="1"/>
  <c r="BV3" i="1"/>
  <c r="BW3" i="1"/>
  <c r="BX3" i="1"/>
  <c r="BY3" i="1"/>
  <c r="BZ3" i="1"/>
  <c r="CA3" i="1"/>
  <c r="CB3" i="1"/>
  <c r="Z24" i="1" s="1" a="1"/>
  <c r="Z24" i="1" s="1"/>
  <c r="CC3" i="1"/>
  <c r="CD3" i="1"/>
  <c r="CE3" i="1"/>
  <c r="AA23" i="1" s="1" a="1"/>
  <c r="AA23" i="1" s="1"/>
  <c r="CF3" i="1"/>
  <c r="CG3" i="1"/>
  <c r="AA25" i="1" s="1" a="1"/>
  <c r="AA25" i="1" s="1"/>
  <c r="CH3" i="1"/>
  <c r="CI3" i="1"/>
  <c r="CJ3" i="1"/>
  <c r="CK3" i="1"/>
  <c r="AB25" i="1" s="1" a="1"/>
  <c r="AB25" i="1" s="1"/>
  <c r="CL3" i="1"/>
  <c r="AB26" i="1" s="1" a="1"/>
  <c r="AB26" i="1" s="1"/>
  <c r="CM3" i="1"/>
  <c r="CN3" i="1"/>
  <c r="CO3" i="1"/>
  <c r="CP3" i="1"/>
  <c r="AC26" i="1" s="1" a="1"/>
  <c r="AC26" i="1" s="1"/>
  <c r="CQ3" i="1"/>
  <c r="CR3" i="1"/>
  <c r="CS3" i="1"/>
  <c r="CT3" i="1"/>
  <c r="CU3" i="1"/>
  <c r="CV3" i="1"/>
  <c r="CW3" i="1"/>
  <c r="CX3" i="1"/>
  <c r="CY3" i="1"/>
  <c r="AF23" i="1" s="1" a="1"/>
  <c r="AF23" i="1" s="1"/>
  <c r="CZ3" i="1"/>
  <c r="AF24" i="1" s="1" a="1"/>
  <c r="AF24" i="1" s="1"/>
  <c r="DA3" i="1"/>
  <c r="AF25" i="1" s="1" a="1"/>
  <c r="AF25" i="1" s="1"/>
  <c r="DB3" i="1"/>
  <c r="G3" i="1"/>
  <c r="W25" i="1" a="1"/>
  <c r="W25" i="1" s="1"/>
  <c r="N25" i="1" a="1"/>
  <c r="N25" i="1" s="1"/>
  <c r="AC24" i="1" a="1"/>
  <c r="AC24" i="1" s="1"/>
  <c r="P24" i="1" a="1"/>
  <c r="P24" i="1" s="1"/>
  <c r="AF22" i="1"/>
  <c r="AE22" i="1"/>
  <c r="AE25" i="1" s="1" a="1"/>
  <c r="AE25" i="1" s="1"/>
  <c r="AD22" i="1"/>
  <c r="AC22" i="1"/>
  <c r="AB22" i="1"/>
  <c r="AA22" i="1"/>
  <c r="Z22" i="1"/>
  <c r="Y22" i="1"/>
  <c r="X22" i="1"/>
  <c r="W22" i="1"/>
  <c r="V22" i="1"/>
  <c r="U22" i="1"/>
  <c r="T22" i="1"/>
  <c r="S22" i="1"/>
  <c r="S24" i="1" s="1" a="1"/>
  <c r="S24" i="1" s="1"/>
  <c r="R22" i="1"/>
  <c r="R24" i="1" s="1" a="1"/>
  <c r="R24" i="1" s="1"/>
  <c r="Q22" i="1"/>
  <c r="P22" i="1"/>
  <c r="O22" i="1"/>
  <c r="O26" i="1" s="1" a="1"/>
  <c r="O26" i="1" s="1"/>
  <c r="N22" i="1"/>
  <c r="N26" i="1" s="1" a="1"/>
  <c r="N26" i="1" s="1"/>
  <c r="M22" i="1"/>
  <c r="L22" i="1"/>
  <c r="K22" i="1"/>
  <c r="J22" i="1"/>
  <c r="I22" i="1"/>
  <c r="H22" i="1"/>
  <c r="K31" i="2"/>
  <c r="J31" i="2"/>
  <c r="I31" i="2"/>
  <c r="H31" i="2"/>
  <c r="P22" i="2"/>
  <c r="Q22" i="2"/>
  <c r="R22" i="2"/>
  <c r="S22" i="2"/>
  <c r="T22" i="2"/>
  <c r="U22" i="2"/>
  <c r="V22" i="2"/>
  <c r="W22" i="2"/>
  <c r="X22" i="2"/>
  <c r="Y22" i="2"/>
  <c r="Z22" i="2"/>
  <c r="AA22" i="2"/>
  <c r="AB22" i="2"/>
  <c r="AC22" i="2"/>
  <c r="AD22" i="2"/>
  <c r="AE22" i="2"/>
  <c r="AF22" i="2"/>
  <c r="M22" i="2"/>
  <c r="N22" i="2"/>
  <c r="O22" i="2"/>
  <c r="L22" i="2"/>
  <c r="I22" i="2"/>
  <c r="J22" i="2"/>
  <c r="K22" i="2"/>
  <c r="H22" i="2"/>
  <c r="DI15" i="1"/>
  <c r="DI11" i="1"/>
  <c r="DI12" i="1"/>
  <c r="DI13" i="1"/>
  <c r="DI10" i="1"/>
  <c r="DI6" i="1"/>
  <c r="DI7" i="1"/>
  <c r="DI8" i="1"/>
  <c r="DI9" i="1"/>
  <c r="DI5" i="1"/>
  <c r="DI29" i="1"/>
  <c r="DI16" i="1"/>
  <c r="DI17" i="1"/>
  <c r="DI18" i="1"/>
  <c r="DI19" i="1"/>
  <c r="DI20" i="1"/>
  <c r="DI21" i="1"/>
  <c r="O23" i="1" a="1"/>
  <c r="O23" i="1" s="1"/>
  <c r="Q26" i="1" a="1"/>
  <c r="Q26" i="1" s="1"/>
  <c r="U25" i="1" a="1"/>
  <c r="U25" i="1" s="1"/>
  <c r="Z26" i="1" a="1"/>
  <c r="Z26" i="1" s="1"/>
  <c r="AA24" i="1" a="1"/>
  <c r="AA24" i="1" s="1"/>
  <c r="AA26" i="1" a="1"/>
  <c r="AA26" i="1" s="1"/>
  <c r="AB23" i="1" a="1"/>
  <c r="AB23" i="1" s="1"/>
  <c r="AB24" i="1" a="1"/>
  <c r="AB24" i="1" s="1"/>
  <c r="AC23" i="1" a="1"/>
  <c r="AC23" i="1" s="1"/>
  <c r="AF26" i="1" a="1"/>
  <c r="AF26" i="1" s="1"/>
  <c r="B5" i="2" a="1"/>
  <c r="K3" i="2" s="1"/>
  <c r="H23" i="1" a="1"/>
  <c r="H23" i="1" s="1"/>
  <c r="D3" i="1"/>
  <c r="C3" i="1"/>
  <c r="K27" i="15" l="1"/>
  <c r="D32" i="15" a="1"/>
  <c r="D32" i="15" s="1"/>
  <c r="D37" i="15" s="1"/>
  <c r="H27" i="15"/>
  <c r="G27" i="15"/>
  <c r="I24" i="15" a="1"/>
  <c r="I24" i="15" s="1"/>
  <c r="I26" i="15" a="1"/>
  <c r="I26" i="15" s="1"/>
  <c r="E32" i="15" s="1" a="1"/>
  <c r="J24" i="15" a="1"/>
  <c r="J24" i="15" s="1"/>
  <c r="J27" i="15" s="1"/>
  <c r="F2" i="15"/>
  <c r="I23" i="15" a="1"/>
  <c r="I23" i="15" s="1"/>
  <c r="J26" i="14" a="1"/>
  <c r="J26" i="14" s="1"/>
  <c r="H26" i="14" a="1"/>
  <c r="H26" i="14" s="1"/>
  <c r="G25" i="14" a="1"/>
  <c r="G25" i="14" s="1"/>
  <c r="D32" i="14" a="1"/>
  <c r="K27" i="14"/>
  <c r="E32" i="14" a="1"/>
  <c r="F2" i="14"/>
  <c r="J23" i="14" a="1"/>
  <c r="J23" i="14" s="1"/>
  <c r="J24" i="14" a="1"/>
  <c r="J24" i="14" s="1"/>
  <c r="C32" i="14" s="1" a="1"/>
  <c r="G23" i="14" a="1"/>
  <c r="G23" i="14" s="1"/>
  <c r="H23" i="14" a="1"/>
  <c r="H23" i="14" s="1"/>
  <c r="H27" i="14" s="1"/>
  <c r="I23" i="14" a="1"/>
  <c r="I23" i="14" s="1"/>
  <c r="I27" i="14" s="1"/>
  <c r="H27" i="13"/>
  <c r="I27" i="13"/>
  <c r="K27" i="13"/>
  <c r="G27" i="13"/>
  <c r="B32" i="13" a="1"/>
  <c r="D32" i="13" a="1"/>
  <c r="E32" i="13" a="1"/>
  <c r="F2" i="13"/>
  <c r="J24" i="13" a="1"/>
  <c r="J24" i="13" s="1"/>
  <c r="J27" i="13" s="1"/>
  <c r="K23" i="12" a="1"/>
  <c r="K23" i="12" s="1"/>
  <c r="O2" i="12"/>
  <c r="K25" i="12" a="1"/>
  <c r="K25" i="12" s="1"/>
  <c r="H24" i="12" a="1"/>
  <c r="H24" i="12" s="1"/>
  <c r="G24" i="12" a="1"/>
  <c r="G24" i="12" s="1"/>
  <c r="I24" i="12" a="1"/>
  <c r="I24" i="12" s="1"/>
  <c r="F2" i="12"/>
  <c r="G25" i="12" a="1"/>
  <c r="G25" i="12" s="1"/>
  <c r="H25" i="12" a="1"/>
  <c r="H25" i="12" s="1"/>
  <c r="G23" i="12" a="1"/>
  <c r="G23" i="12" s="1"/>
  <c r="H23" i="12" a="1"/>
  <c r="H23" i="12" s="1"/>
  <c r="J25" i="12" a="1"/>
  <c r="J25" i="12" s="1"/>
  <c r="I23" i="12" a="1"/>
  <c r="I23" i="12" s="1"/>
  <c r="G26" i="12" a="1"/>
  <c r="G26" i="12" s="1"/>
  <c r="J23" i="12" a="1"/>
  <c r="J23" i="12" s="1"/>
  <c r="H26" i="12" a="1"/>
  <c r="H26" i="12" s="1"/>
  <c r="I26" i="12" a="1"/>
  <c r="I26" i="12" s="1"/>
  <c r="J26" i="12" a="1"/>
  <c r="J26" i="12" s="1"/>
  <c r="K24" i="12" a="1"/>
  <c r="K24" i="12" s="1"/>
  <c r="H26" i="10" a="1"/>
  <c r="H26" i="10" s="1"/>
  <c r="J26" i="10" a="1"/>
  <c r="J26" i="10" s="1"/>
  <c r="AI12" i="10"/>
  <c r="O2" i="10"/>
  <c r="G23" i="10" a="1"/>
  <c r="G23" i="10" s="1"/>
  <c r="I23" i="10" a="1"/>
  <c r="I23" i="10" s="1"/>
  <c r="H23" i="10" a="1"/>
  <c r="H23" i="10" s="1"/>
  <c r="H24" i="10" a="1"/>
  <c r="H24" i="10" s="1"/>
  <c r="H25" i="10" a="1"/>
  <c r="H25" i="10" s="1"/>
  <c r="I26" i="10" a="1"/>
  <c r="I26" i="10" s="1"/>
  <c r="K2" i="10"/>
  <c r="AI11" i="10" s="1"/>
  <c r="S2" i="10"/>
  <c r="G2" i="10"/>
  <c r="AI6" i="10" s="1"/>
  <c r="G26" i="10" a="1"/>
  <c r="G26" i="10" s="1"/>
  <c r="K26" i="10" a="1"/>
  <c r="K26" i="10" s="1"/>
  <c r="I25" i="10" a="1"/>
  <c r="I25" i="10" s="1"/>
  <c r="J25" i="10" a="1"/>
  <c r="J25" i="10" s="1"/>
  <c r="J23" i="10" a="1"/>
  <c r="J23" i="10" s="1"/>
  <c r="K23" i="10" a="1"/>
  <c r="K23" i="10" s="1"/>
  <c r="AI10" i="10"/>
  <c r="AI8" i="10"/>
  <c r="W2" i="10"/>
  <c r="G25" i="10" a="1"/>
  <c r="G25" i="10" s="1"/>
  <c r="K25" i="10" a="1"/>
  <c r="K25" i="10" s="1"/>
  <c r="G24" i="10" a="1"/>
  <c r="G24" i="10" s="1"/>
  <c r="K24" i="10" a="1"/>
  <c r="K24" i="10" s="1"/>
  <c r="AI9" i="10"/>
  <c r="I24" i="10" a="1"/>
  <c r="I24" i="10" s="1"/>
  <c r="J24" i="10" a="1"/>
  <c r="J24" i="10" s="1"/>
  <c r="F2" i="10"/>
  <c r="S3" i="9"/>
  <c r="K23" i="9" s="1" a="1"/>
  <c r="K23" i="9" s="1"/>
  <c r="Y3" i="9"/>
  <c r="L25" i="9" s="1" a="1"/>
  <c r="L25" i="9" s="1"/>
  <c r="AQ3" i="9"/>
  <c r="Q23" i="9" s="1" a="1"/>
  <c r="Q23" i="9" s="1"/>
  <c r="AS3" i="9"/>
  <c r="Q25" i="9" s="1" a="1"/>
  <c r="Q25" i="9" s="1"/>
  <c r="AT3" i="9"/>
  <c r="Q26" i="9" s="1" a="1"/>
  <c r="Q26" i="9" s="1"/>
  <c r="AZ3" i="9"/>
  <c r="S24" i="9" s="1" a="1"/>
  <c r="S24" i="9" s="1"/>
  <c r="BA3" i="9"/>
  <c r="S25" i="9" s="1" a="1"/>
  <c r="S25" i="9" s="1"/>
  <c r="BU3" i="9"/>
  <c r="X25" i="9" s="1" a="1"/>
  <c r="X25" i="9" s="1"/>
  <c r="CW3" i="9"/>
  <c r="AE25" i="9" s="1" a="1"/>
  <c r="AE25" i="9" s="1"/>
  <c r="CX3" i="9"/>
  <c r="CU2" i="9" s="1"/>
  <c r="Z3" i="9"/>
  <c r="L26" i="9" s="1" a="1"/>
  <c r="L26" i="9" s="1"/>
  <c r="AR3" i="9"/>
  <c r="Q24" i="9" s="1" a="1"/>
  <c r="Q24" i="9" s="1"/>
  <c r="AU3" i="9"/>
  <c r="R23" i="9" s="1" a="1"/>
  <c r="R23" i="9" s="1"/>
  <c r="BB3" i="9"/>
  <c r="S26" i="9" s="1" a="1"/>
  <c r="S26" i="9" s="1"/>
  <c r="BV3" i="9"/>
  <c r="X26" i="9" s="1" a="1"/>
  <c r="X26" i="9" s="1"/>
  <c r="BW3" i="9"/>
  <c r="Y23" i="9" s="1" a="1"/>
  <c r="Y23" i="9" s="1"/>
  <c r="CT3" i="9"/>
  <c r="AD26" i="9" s="1" a="1"/>
  <c r="AD26" i="9" s="1"/>
  <c r="CU3" i="9"/>
  <c r="AE23" i="9" s="1" a="1"/>
  <c r="AE23" i="9" s="1"/>
  <c r="CV3" i="9"/>
  <c r="BO3" i="9"/>
  <c r="W23" i="9" s="1" a="1"/>
  <c r="W23" i="9" s="1"/>
  <c r="BT3" i="9"/>
  <c r="X24" i="9" s="1" a="1"/>
  <c r="X24" i="9" s="1"/>
  <c r="L3" i="8"/>
  <c r="I24" i="8" s="1" a="1"/>
  <c r="I24" i="8" s="1"/>
  <c r="T3" i="9"/>
  <c r="K24" i="9" s="1" a="1"/>
  <c r="K24" i="9" s="1"/>
  <c r="BX3" i="9"/>
  <c r="Y24" i="9" s="1" a="1"/>
  <c r="Y24" i="9" s="1"/>
  <c r="U3" i="9"/>
  <c r="K25" i="9" s="1" a="1"/>
  <c r="K25" i="9" s="1"/>
  <c r="BY3" i="9"/>
  <c r="Y25" i="9" s="1" a="1"/>
  <c r="Y25" i="9" s="1"/>
  <c r="V3" i="9"/>
  <c r="K26" i="9" s="1" a="1"/>
  <c r="K26" i="9" s="1"/>
  <c r="BZ3" i="9"/>
  <c r="Y26" i="9" s="1" a="1"/>
  <c r="Y26" i="9" s="1"/>
  <c r="W3" i="9"/>
  <c r="L23" i="9" s="1" a="1"/>
  <c r="L23" i="9" s="1"/>
  <c r="L27" i="9" s="1"/>
  <c r="CR3" i="9"/>
  <c r="AD24" i="9" s="1" a="1"/>
  <c r="AD24" i="9" s="1"/>
  <c r="X3" i="9"/>
  <c r="L24" i="9" s="1" a="1"/>
  <c r="L24" i="9" s="1"/>
  <c r="CS3" i="9"/>
  <c r="AD25" i="9" s="1" a="1"/>
  <c r="AD25" i="9" s="1"/>
  <c r="AQ2" i="9"/>
  <c r="M26" i="9" a="1"/>
  <c r="M26" i="9" s="1"/>
  <c r="CM3" i="9"/>
  <c r="BS3" i="9"/>
  <c r="AY3" i="9"/>
  <c r="AE3" i="9"/>
  <c r="K3" i="9"/>
  <c r="CL3" i="9"/>
  <c r="AB26" i="9" s="1" a="1"/>
  <c r="AB26" i="9" s="1"/>
  <c r="BR3" i="9"/>
  <c r="W26" i="9" s="1" a="1"/>
  <c r="W26" i="9" s="1"/>
  <c r="AX3" i="9"/>
  <c r="R26" i="9" s="1" a="1"/>
  <c r="R26" i="9" s="1"/>
  <c r="AD3" i="9"/>
  <c r="J3" i="9"/>
  <c r="H26" i="9" s="1" a="1"/>
  <c r="H26" i="9" s="1"/>
  <c r="CK3" i="9"/>
  <c r="AB25" i="9" s="1" a="1"/>
  <c r="AB25" i="9" s="1"/>
  <c r="BQ3" i="9"/>
  <c r="W25" i="9" s="1" a="1"/>
  <c r="W25" i="9" s="1"/>
  <c r="AW3" i="9"/>
  <c r="R25" i="9" s="1" a="1"/>
  <c r="R25" i="9" s="1"/>
  <c r="AC3" i="9"/>
  <c r="M25" i="9" s="1" a="1"/>
  <c r="M25" i="9" s="1"/>
  <c r="I3" i="9"/>
  <c r="H25" i="9" s="1" a="1"/>
  <c r="H25" i="9" s="1"/>
  <c r="CJ3" i="9"/>
  <c r="AB24" i="9" s="1" a="1"/>
  <c r="AB24" i="9" s="1"/>
  <c r="BP3" i="9"/>
  <c r="AV3" i="9"/>
  <c r="R24" i="9" s="1" a="1"/>
  <c r="R24" i="9" s="1"/>
  <c r="AB3" i="9"/>
  <c r="M24" i="9" s="1" a="1"/>
  <c r="M24" i="9" s="1"/>
  <c r="H3" i="9"/>
  <c r="H24" i="9" s="1" a="1"/>
  <c r="H24" i="9" s="1"/>
  <c r="L3" i="9"/>
  <c r="I24" i="9" s="1" a="1"/>
  <c r="I24" i="9" s="1"/>
  <c r="AJ3" i="9"/>
  <c r="O24" i="9" s="1" a="1"/>
  <c r="O24" i="9" s="1"/>
  <c r="BH3" i="9"/>
  <c r="U24" i="9" s="1" a="1"/>
  <c r="U24" i="9" s="1"/>
  <c r="CF3" i="9"/>
  <c r="AA24" i="9" s="1" a="1"/>
  <c r="AA24" i="9" s="1"/>
  <c r="BC3" i="9"/>
  <c r="CY3" i="9"/>
  <c r="AF3" i="9"/>
  <c r="N24" i="9" s="1" a="1"/>
  <c r="N24" i="9" s="1"/>
  <c r="BD3" i="9"/>
  <c r="T24" i="9" s="1" a="1"/>
  <c r="T24" i="9" s="1"/>
  <c r="CB3" i="9"/>
  <c r="Z24" i="9" s="1" a="1"/>
  <c r="Z24" i="9" s="1"/>
  <c r="C3" i="9"/>
  <c r="AG3" i="9"/>
  <c r="N25" i="9" s="1" a="1"/>
  <c r="N25" i="9" s="1"/>
  <c r="BE3" i="9"/>
  <c r="T25" i="9" s="1" a="1"/>
  <c r="T25" i="9" s="1"/>
  <c r="CC3" i="9"/>
  <c r="Z25" i="9" s="1" a="1"/>
  <c r="Z25" i="9" s="1"/>
  <c r="DA3" i="9"/>
  <c r="AF25" i="9" s="1" a="1"/>
  <c r="AF25" i="9" s="1"/>
  <c r="AH3" i="9"/>
  <c r="N26" i="9" s="1" a="1"/>
  <c r="N26" i="9" s="1"/>
  <c r="G3" i="9"/>
  <c r="BG3" i="9"/>
  <c r="AK3" i="9"/>
  <c r="O25" i="9" s="1" a="1"/>
  <c r="O25" i="9" s="1"/>
  <c r="BI3" i="9"/>
  <c r="U25" i="9" s="1" a="1"/>
  <c r="U25" i="9" s="1"/>
  <c r="N3" i="9"/>
  <c r="I26" i="9" s="1" a="1"/>
  <c r="I26" i="9" s="1"/>
  <c r="BJ3" i="9"/>
  <c r="U26" i="9" s="1" a="1"/>
  <c r="U26" i="9" s="1"/>
  <c r="CH3" i="9"/>
  <c r="AA26" i="9" s="1" a="1"/>
  <c r="AA26" i="9" s="1"/>
  <c r="AM3" i="9"/>
  <c r="BK3" i="9"/>
  <c r="CI3" i="9"/>
  <c r="AE26" i="9" a="1"/>
  <c r="AE26" i="9" s="1"/>
  <c r="AE24" i="9" a="1"/>
  <c r="AE24" i="9" s="1"/>
  <c r="AE27" i="9" s="1"/>
  <c r="P3" i="9"/>
  <c r="J24" i="9" s="1" a="1"/>
  <c r="J24" i="9" s="1"/>
  <c r="AN3" i="9"/>
  <c r="P24" i="9" s="1" a="1"/>
  <c r="P24" i="9" s="1"/>
  <c r="BL3" i="9"/>
  <c r="V24" i="9" s="1" a="1"/>
  <c r="V24" i="9" s="1"/>
  <c r="Q3" i="9"/>
  <c r="J25" i="9" s="1" a="1"/>
  <c r="J25" i="9" s="1"/>
  <c r="AO3" i="9"/>
  <c r="P25" i="9" s="1" a="1"/>
  <c r="P25" i="9" s="1"/>
  <c r="BM3" i="9"/>
  <c r="V25" i="9" s="1" a="1"/>
  <c r="V25" i="9" s="1"/>
  <c r="CO3" i="9"/>
  <c r="AC25" i="9" s="1" a="1"/>
  <c r="AC25" i="9" s="1"/>
  <c r="W24" i="9" a="1"/>
  <c r="W24" i="9" s="1"/>
  <c r="AA3" i="9"/>
  <c r="CA3" i="9"/>
  <c r="CZ3" i="9"/>
  <c r="AF24" i="9" s="1" a="1"/>
  <c r="AF24" i="9" s="1"/>
  <c r="D3" i="9"/>
  <c r="BF3" i="9"/>
  <c r="T26" i="9" s="1" a="1"/>
  <c r="T26" i="9" s="1"/>
  <c r="CD3" i="9"/>
  <c r="Z26" i="9" s="1" a="1"/>
  <c r="Z26" i="9" s="1"/>
  <c r="DB3" i="9"/>
  <c r="AF26" i="9" s="1" a="1"/>
  <c r="AF26" i="9" s="1"/>
  <c r="AI3" i="9"/>
  <c r="O23" i="9" s="1" a="1"/>
  <c r="O23" i="9" s="1"/>
  <c r="CE3" i="9"/>
  <c r="M3" i="9"/>
  <c r="I25" i="9" s="1" a="1"/>
  <c r="I25" i="9" s="1"/>
  <c r="CG3" i="9"/>
  <c r="AA25" i="9" s="1" a="1"/>
  <c r="AA25" i="9" s="1"/>
  <c r="AL3" i="9"/>
  <c r="O26" i="9" s="1" a="1"/>
  <c r="O26" i="9" s="1"/>
  <c r="O3" i="9"/>
  <c r="CN3" i="9"/>
  <c r="AC24" i="9" s="1" a="1"/>
  <c r="AC24" i="9" s="1"/>
  <c r="R3" i="9"/>
  <c r="J26" i="9" s="1" a="1"/>
  <c r="J26" i="9" s="1"/>
  <c r="AP3" i="9"/>
  <c r="P26" i="9" s="1" a="1"/>
  <c r="P26" i="9" s="1"/>
  <c r="BN3" i="9"/>
  <c r="V26" i="9" s="1" a="1"/>
  <c r="V26" i="9" s="1"/>
  <c r="CP3" i="9"/>
  <c r="AC26" i="9" s="1" a="1"/>
  <c r="AC26" i="9" s="1"/>
  <c r="CQ3" i="9"/>
  <c r="CO3" i="8"/>
  <c r="AC25" i="8" s="1" a="1"/>
  <c r="AC25" i="8" s="1"/>
  <c r="BH3" i="8"/>
  <c r="U24" i="8" s="1" a="1"/>
  <c r="U24" i="8" s="1"/>
  <c r="BI3" i="8"/>
  <c r="U25" i="8" s="1" a="1"/>
  <c r="U25" i="8" s="1"/>
  <c r="BJ3" i="8"/>
  <c r="U26" i="8" s="1" a="1"/>
  <c r="U26" i="8" s="1"/>
  <c r="BK3" i="8"/>
  <c r="V23" i="8" s="1" a="1"/>
  <c r="V23" i="8" s="1"/>
  <c r="CN3" i="8"/>
  <c r="AC24" i="8" s="1" a="1"/>
  <c r="AC24" i="8" s="1"/>
  <c r="CT3" i="8"/>
  <c r="AD26" i="8" s="1" a="1"/>
  <c r="AD26" i="8" s="1"/>
  <c r="CU3" i="8"/>
  <c r="AE23" i="8" s="1" a="1"/>
  <c r="AE23" i="8" s="1"/>
  <c r="X3" i="8"/>
  <c r="L24" i="8" s="1" a="1"/>
  <c r="L24" i="8" s="1"/>
  <c r="Y3" i="8"/>
  <c r="L25" i="8" s="1" a="1"/>
  <c r="L25" i="8" s="1"/>
  <c r="Z3" i="8"/>
  <c r="AA3" i="8"/>
  <c r="M23" i="8" s="1" a="1"/>
  <c r="M23" i="8" s="1"/>
  <c r="L26" i="8" a="1"/>
  <c r="L26" i="8" s="1"/>
  <c r="AF3" i="8"/>
  <c r="N24" i="8" s="1" a="1"/>
  <c r="N24" i="8" s="1"/>
  <c r="BL3" i="8"/>
  <c r="V24" i="8" s="1" a="1"/>
  <c r="V24" i="8" s="1"/>
  <c r="CV3" i="8"/>
  <c r="AG3" i="8"/>
  <c r="N25" i="8" s="1" a="1"/>
  <c r="N25" i="8" s="1"/>
  <c r="BM3" i="8"/>
  <c r="V25" i="8" s="1" a="1"/>
  <c r="V25" i="8" s="1"/>
  <c r="CW3" i="8"/>
  <c r="AE25" i="8" s="1" a="1"/>
  <c r="AE25" i="8" s="1"/>
  <c r="AL3" i="8"/>
  <c r="O26" i="8" s="1" a="1"/>
  <c r="O26" i="8" s="1"/>
  <c r="BN3" i="8"/>
  <c r="V26" i="8" s="1" a="1"/>
  <c r="V26" i="8" s="1"/>
  <c r="CX3" i="8"/>
  <c r="AE26" i="8" s="1" a="1"/>
  <c r="AE26" i="8" s="1"/>
  <c r="AM3" i="8"/>
  <c r="BO3" i="8"/>
  <c r="W23" i="8" s="1" a="1"/>
  <c r="W23" i="8" s="1"/>
  <c r="CY3" i="8"/>
  <c r="AN3" i="8"/>
  <c r="P24" i="8" s="1" a="1"/>
  <c r="P24" i="8" s="1"/>
  <c r="BT3" i="8"/>
  <c r="X24" i="8" s="1" a="1"/>
  <c r="X24" i="8" s="1"/>
  <c r="CZ3" i="8"/>
  <c r="AF24" i="8" s="1" a="1"/>
  <c r="AF24" i="8" s="1"/>
  <c r="C3" i="8"/>
  <c r="AO3" i="8"/>
  <c r="P25" i="8" s="1" a="1"/>
  <c r="P25" i="8" s="1"/>
  <c r="BU3" i="8"/>
  <c r="X25" i="8" s="1" a="1"/>
  <c r="X25" i="8" s="1"/>
  <c r="DA3" i="8"/>
  <c r="AF25" i="8" s="1" a="1"/>
  <c r="AF25" i="8" s="1"/>
  <c r="D3" i="8"/>
  <c r="AP3" i="8"/>
  <c r="P26" i="8" s="1" a="1"/>
  <c r="P26" i="8" s="1"/>
  <c r="BZ3" i="8"/>
  <c r="Y26" i="8" s="1" a="1"/>
  <c r="Y26" i="8" s="1"/>
  <c r="DB3" i="8"/>
  <c r="AF26" i="8" s="1" a="1"/>
  <c r="AF26" i="8" s="1"/>
  <c r="G3" i="8"/>
  <c r="AQ3" i="8"/>
  <c r="Q23" i="8" s="1" a="1"/>
  <c r="Q23" i="8" s="1"/>
  <c r="CA3" i="8"/>
  <c r="Z23" i="8" s="1" a="1"/>
  <c r="Z23" i="8" s="1"/>
  <c r="CS3" i="8"/>
  <c r="AD25" i="8" s="1" a="1"/>
  <c r="AD25" i="8" s="1"/>
  <c r="BY3" i="8"/>
  <c r="Y25" i="8" s="1" a="1"/>
  <c r="Y25" i="8" s="1"/>
  <c r="BE3" i="8"/>
  <c r="T25" i="8" s="1" a="1"/>
  <c r="T25" i="8" s="1"/>
  <c r="AK3" i="8"/>
  <c r="O25" i="8" s="1" a="1"/>
  <c r="O25" i="8" s="1"/>
  <c r="Q3" i="8"/>
  <c r="J25" i="8" s="1" a="1"/>
  <c r="J25" i="8" s="1"/>
  <c r="CR3" i="8"/>
  <c r="AD24" i="8" s="1" a="1"/>
  <c r="AD24" i="8" s="1"/>
  <c r="BX3" i="8"/>
  <c r="Y24" i="8" s="1" a="1"/>
  <c r="Y24" i="8" s="1"/>
  <c r="BD3" i="8"/>
  <c r="T24" i="8" s="1" a="1"/>
  <c r="T24" i="8" s="1"/>
  <c r="AJ3" i="8"/>
  <c r="O24" i="8" s="1" a="1"/>
  <c r="O24" i="8" s="1"/>
  <c r="P3" i="8"/>
  <c r="J24" i="8" s="1" a="1"/>
  <c r="J24" i="8" s="1"/>
  <c r="CQ3" i="8"/>
  <c r="BW3" i="8"/>
  <c r="BC3" i="8"/>
  <c r="AI3" i="8"/>
  <c r="O3" i="8"/>
  <c r="CP3" i="8"/>
  <c r="AC26" i="8" s="1" a="1"/>
  <c r="AC26" i="8" s="1"/>
  <c r="BV3" i="8"/>
  <c r="X26" i="8" s="1" a="1"/>
  <c r="X26" i="8" s="1"/>
  <c r="BB3" i="8"/>
  <c r="S26" i="8" s="1" a="1"/>
  <c r="S26" i="8" s="1"/>
  <c r="AH3" i="8"/>
  <c r="N26" i="8" s="1" a="1"/>
  <c r="N26" i="8" s="1"/>
  <c r="N3" i="8"/>
  <c r="I26" i="8" s="1" a="1"/>
  <c r="I26" i="8" s="1"/>
  <c r="CM3" i="8"/>
  <c r="AC23" i="8" s="1" a="1"/>
  <c r="AC23" i="8" s="1"/>
  <c r="BS3" i="8"/>
  <c r="X23" i="8" s="1" a="1"/>
  <c r="X23" i="8" s="1"/>
  <c r="AY3" i="8"/>
  <c r="S23" i="8" s="1" a="1"/>
  <c r="S23" i="8" s="1"/>
  <c r="AE3" i="8"/>
  <c r="K3" i="8"/>
  <c r="CL3" i="8"/>
  <c r="AB26" i="8" s="1" a="1"/>
  <c r="AB26" i="8" s="1"/>
  <c r="BR3" i="8"/>
  <c r="W26" i="8" s="1" a="1"/>
  <c r="W26" i="8" s="1"/>
  <c r="AX3" i="8"/>
  <c r="R26" i="8" s="1" a="1"/>
  <c r="R26" i="8" s="1"/>
  <c r="AD3" i="8"/>
  <c r="M26" i="8" s="1" a="1"/>
  <c r="M26" i="8" s="1"/>
  <c r="J3" i="8"/>
  <c r="H26" i="8" s="1" a="1"/>
  <c r="H26" i="8" s="1"/>
  <c r="CK3" i="8"/>
  <c r="AB25" i="8" s="1" a="1"/>
  <c r="AB25" i="8" s="1"/>
  <c r="BQ3" i="8"/>
  <c r="W25" i="8" s="1" a="1"/>
  <c r="W25" i="8" s="1"/>
  <c r="AW3" i="8"/>
  <c r="R25" i="8" s="1" a="1"/>
  <c r="R25" i="8" s="1"/>
  <c r="AC3" i="8"/>
  <c r="M25" i="8" s="1" a="1"/>
  <c r="M25" i="8" s="1"/>
  <c r="I3" i="8"/>
  <c r="H25" i="8" s="1" a="1"/>
  <c r="H25" i="8" s="1"/>
  <c r="CJ3" i="8"/>
  <c r="AB24" i="8" s="1" a="1"/>
  <c r="AB24" i="8" s="1"/>
  <c r="BP3" i="8"/>
  <c r="W24" i="8" s="1" a="1"/>
  <c r="W24" i="8" s="1"/>
  <c r="AV3" i="8"/>
  <c r="R24" i="8" s="1" a="1"/>
  <c r="R24" i="8" s="1"/>
  <c r="AB3" i="8"/>
  <c r="M24" i="8" s="1" a="1"/>
  <c r="M24" i="8" s="1"/>
  <c r="H3" i="8"/>
  <c r="H24" i="8" s="1" a="1"/>
  <c r="H24" i="8" s="1"/>
  <c r="AR3" i="8"/>
  <c r="Q24" i="8" s="1" a="1"/>
  <c r="Q24" i="8" s="1"/>
  <c r="CB3" i="8"/>
  <c r="Z24" i="8" s="1" a="1"/>
  <c r="Z24" i="8" s="1"/>
  <c r="M3" i="8"/>
  <c r="AS3" i="8"/>
  <c r="Q25" i="8" s="1" a="1"/>
  <c r="Q25" i="8" s="1"/>
  <c r="CC3" i="8"/>
  <c r="Z25" i="8" s="1" a="1"/>
  <c r="Z25" i="8" s="1"/>
  <c r="I25" i="8" a="1"/>
  <c r="I25" i="8" s="1"/>
  <c r="R3" i="8"/>
  <c r="J26" i="8" s="1" a="1"/>
  <c r="J26" i="8" s="1"/>
  <c r="AT3" i="8"/>
  <c r="Q26" i="8" s="1" a="1"/>
  <c r="Q26" i="8" s="1"/>
  <c r="CD3" i="8"/>
  <c r="Z26" i="8" s="1" a="1"/>
  <c r="Z26" i="8" s="1"/>
  <c r="S3" i="8"/>
  <c r="K23" i="8" s="1" a="1"/>
  <c r="K23" i="8" s="1"/>
  <c r="AU3" i="8"/>
  <c r="CE3" i="8"/>
  <c r="T3" i="8"/>
  <c r="K24" i="8" s="1" a="1"/>
  <c r="K24" i="8" s="1"/>
  <c r="AZ3" i="8"/>
  <c r="S24" i="8" s="1" a="1"/>
  <c r="S24" i="8" s="1"/>
  <c r="CF3" i="8"/>
  <c r="AA24" i="8" s="1" a="1"/>
  <c r="AA24" i="8" s="1"/>
  <c r="U3" i="8"/>
  <c r="K25" i="8" s="1" a="1"/>
  <c r="K25" i="8" s="1"/>
  <c r="BA3" i="8"/>
  <c r="S25" i="8" s="1" a="1"/>
  <c r="S25" i="8" s="1"/>
  <c r="CG3" i="8"/>
  <c r="AA25" i="8" s="1" a="1"/>
  <c r="AA25" i="8" s="1"/>
  <c r="V3" i="8"/>
  <c r="K26" i="8" s="1" a="1"/>
  <c r="K26" i="8" s="1"/>
  <c r="BF3" i="8"/>
  <c r="T26" i="8" s="1" a="1"/>
  <c r="T26" i="8" s="1"/>
  <c r="CH3" i="8"/>
  <c r="AA26" i="8" s="1" a="1"/>
  <c r="AA26" i="8" s="1"/>
  <c r="W3" i="8"/>
  <c r="BG3" i="8"/>
  <c r="U23" i="8" s="1" a="1"/>
  <c r="U23" i="8" s="1"/>
  <c r="CI3" i="8"/>
  <c r="AF27" i="1"/>
  <c r="P27" i="1"/>
  <c r="J24" i="1" s="1" a="1"/>
  <c r="J24" i="1" s="1"/>
  <c r="Q27" i="1"/>
  <c r="J25" i="1" s="1" a="1"/>
  <c r="J25" i="1" s="1"/>
  <c r="T25" i="1" a="1"/>
  <c r="T25" i="1" s="1"/>
  <c r="T23" i="1" a="1"/>
  <c r="T23" i="1" s="1"/>
  <c r="T26" i="1" a="1"/>
  <c r="T26" i="1" s="1"/>
  <c r="T24" i="1" a="1"/>
  <c r="T24" i="1" s="1"/>
  <c r="S26" i="1" a="1"/>
  <c r="S26" i="1" s="1"/>
  <c r="U26" i="1" a="1"/>
  <c r="U26" i="1" s="1"/>
  <c r="U24" i="1" a="1"/>
  <c r="U24" i="1" s="1"/>
  <c r="V26" i="1" a="1"/>
  <c r="V26" i="1" s="1"/>
  <c r="W26" i="1" a="1"/>
  <c r="W26" i="1" s="1"/>
  <c r="W24" i="1" a="1"/>
  <c r="W24" i="1" s="1"/>
  <c r="X26" i="1" a="1"/>
  <c r="X26" i="1" s="1"/>
  <c r="X24" i="1" a="1"/>
  <c r="X24" i="1" s="1"/>
  <c r="U23" i="1" a="1"/>
  <c r="U23" i="1" s="1"/>
  <c r="Y26" i="1" a="1"/>
  <c r="Y26" i="1" s="1"/>
  <c r="Y24" i="1" a="1"/>
  <c r="Y24" i="1" s="1"/>
  <c r="Y25" i="1" a="1"/>
  <c r="Y25" i="1" s="1"/>
  <c r="Y23" i="1" a="1"/>
  <c r="Y23" i="1" s="1"/>
  <c r="Z25" i="1" a="1"/>
  <c r="Z25" i="1" s="1"/>
  <c r="V23" i="1" a="1"/>
  <c r="V23" i="1" s="1"/>
  <c r="W23" i="1" a="1"/>
  <c r="W23" i="1" s="1"/>
  <c r="AD25" i="1" a="1"/>
  <c r="AD25" i="1" s="1"/>
  <c r="AD23" i="1" a="1"/>
  <c r="AD23" i="1" s="1"/>
  <c r="AD26" i="1" a="1"/>
  <c r="AD26" i="1" s="1"/>
  <c r="AD24" i="1" a="1"/>
  <c r="AD24" i="1" s="1"/>
  <c r="X23" i="1" a="1"/>
  <c r="X23" i="1" s="1"/>
  <c r="S25" i="1" a="1"/>
  <c r="S25" i="1" s="1"/>
  <c r="S23" i="1" a="1"/>
  <c r="S23" i="1" s="1"/>
  <c r="AE26" i="1" a="1"/>
  <c r="AE26" i="1" s="1"/>
  <c r="AE24" i="1" a="1"/>
  <c r="AE24" i="1" s="1"/>
  <c r="N24" i="1" a="1"/>
  <c r="N24" i="1" s="1"/>
  <c r="AA27" i="1"/>
  <c r="M23" i="1" s="1" a="1"/>
  <c r="M23" i="1" s="1"/>
  <c r="AB27" i="1"/>
  <c r="M24" i="1" s="1" a="1"/>
  <c r="M24" i="1" s="1"/>
  <c r="AE23" i="1" a="1"/>
  <c r="AE23" i="1" s="1"/>
  <c r="R25" i="1" a="1"/>
  <c r="R25" i="1" s="1"/>
  <c r="R23" i="1" a="1"/>
  <c r="R23" i="1" s="1"/>
  <c r="R26" i="1" a="1"/>
  <c r="R26" i="1" s="1"/>
  <c r="Z23" i="1" a="1"/>
  <c r="Z23" i="1" s="1"/>
  <c r="AC25" i="1" a="1"/>
  <c r="AC25" i="1" s="1"/>
  <c r="AC27" i="1" s="1"/>
  <c r="M25" i="1" s="1" a="1"/>
  <c r="M25" i="1" s="1"/>
  <c r="O24" i="1" a="1"/>
  <c r="O24" i="1" s="1"/>
  <c r="CY2" i="1"/>
  <c r="CU2" i="1"/>
  <c r="AM2" i="1"/>
  <c r="CQ2" i="1"/>
  <c r="AI2" i="1"/>
  <c r="DK12" i="1" s="1"/>
  <c r="BW2" i="1"/>
  <c r="CL3" i="2"/>
  <c r="AB26" i="2" s="1" a="1"/>
  <c r="AB26" i="2" s="1"/>
  <c r="AX3" i="2"/>
  <c r="R26" i="2" s="1" a="1"/>
  <c r="R26" i="2" s="1"/>
  <c r="AD3" i="2"/>
  <c r="M26" i="2" s="1" a="1"/>
  <c r="M26" i="2" s="1"/>
  <c r="J3" i="2"/>
  <c r="H26" i="2" s="1" a="1"/>
  <c r="H26" i="2" s="1"/>
  <c r="CK3" i="2"/>
  <c r="AB25" i="2" s="1" a="1"/>
  <c r="AB25" i="2" s="1"/>
  <c r="AW3" i="2"/>
  <c r="R25" i="2" s="1" a="1"/>
  <c r="R25" i="2" s="1"/>
  <c r="I3" i="2"/>
  <c r="H25" i="2" s="1" a="1"/>
  <c r="H25" i="2" s="1"/>
  <c r="H3" i="2"/>
  <c r="H24" i="2" s="1" a="1"/>
  <c r="H24" i="2" s="1"/>
  <c r="BP3" i="2"/>
  <c r="W24" i="2" s="1" a="1"/>
  <c r="W24" i="2" s="1"/>
  <c r="G3" i="2"/>
  <c r="H23" i="2" s="1" a="1"/>
  <c r="H23" i="2" s="1"/>
  <c r="BO3" i="2"/>
  <c r="W23" i="2" s="1" a="1"/>
  <c r="W23" i="2" s="1"/>
  <c r="AA3" i="2"/>
  <c r="M23" i="2" s="1" a="1"/>
  <c r="M23" i="2" s="1"/>
  <c r="BN3" i="2"/>
  <c r="V26" i="2" s="1" a="1"/>
  <c r="V26" i="2" s="1"/>
  <c r="CG3" i="2"/>
  <c r="AA25" i="2" s="1" a="1"/>
  <c r="AA25" i="2" s="1"/>
  <c r="BL3" i="2"/>
  <c r="V24" i="2" s="1" a="1"/>
  <c r="V24" i="2" s="1"/>
  <c r="X3" i="2"/>
  <c r="L24" i="2" s="1" a="1"/>
  <c r="L24" i="2" s="1"/>
  <c r="CE3" i="2"/>
  <c r="AA23" i="2" s="1" a="1"/>
  <c r="AA23" i="2" s="1"/>
  <c r="AQ3" i="2"/>
  <c r="Q23" i="2" s="1" a="1"/>
  <c r="Q23" i="2" s="1"/>
  <c r="CX3" i="2"/>
  <c r="AE26" i="2" s="1" a="1"/>
  <c r="AE26" i="2" s="1"/>
  <c r="BJ3" i="2"/>
  <c r="U26" i="2" s="1" a="1"/>
  <c r="U26" i="2" s="1"/>
  <c r="AP3" i="2"/>
  <c r="P26" i="2" s="1" a="1"/>
  <c r="P26" i="2" s="1"/>
  <c r="V3" i="2"/>
  <c r="K26" i="2" s="1" a="1"/>
  <c r="K26" i="2" s="1"/>
  <c r="CC3" i="2"/>
  <c r="Z25" i="2" s="1" a="1"/>
  <c r="Z25" i="2" s="1"/>
  <c r="BI3" i="2"/>
  <c r="U25" i="2" s="1" a="1"/>
  <c r="U25" i="2" s="1"/>
  <c r="U3" i="2"/>
  <c r="K25" i="2" s="1" a="1"/>
  <c r="K25" i="2" s="1"/>
  <c r="CV3" i="2"/>
  <c r="AE24" i="2" s="1" a="1"/>
  <c r="AE24" i="2" s="1"/>
  <c r="CB3" i="2"/>
  <c r="Z24" i="2" s="1" a="1"/>
  <c r="Z24" i="2" s="1"/>
  <c r="BH3" i="2"/>
  <c r="U24" i="2" s="1" a="1"/>
  <c r="U24" i="2" s="1"/>
  <c r="AN3" i="2"/>
  <c r="P24" i="2" s="1" a="1"/>
  <c r="P24" i="2" s="1"/>
  <c r="T3" i="2"/>
  <c r="K24" i="2" s="1" a="1"/>
  <c r="K24" i="2" s="1"/>
  <c r="CU3" i="2"/>
  <c r="AE23" i="2" s="1" a="1"/>
  <c r="AE23" i="2" s="1"/>
  <c r="CA3" i="2"/>
  <c r="Z23" i="2" s="1" a="1"/>
  <c r="Z23" i="2" s="1"/>
  <c r="BG3" i="2"/>
  <c r="U23" i="2" s="1" a="1"/>
  <c r="U23" i="2" s="1"/>
  <c r="AM3" i="2"/>
  <c r="P23" i="2" s="1" a="1"/>
  <c r="P23" i="2" s="1"/>
  <c r="S3" i="2"/>
  <c r="K23" i="2" s="1" a="1"/>
  <c r="K23" i="2" s="1"/>
  <c r="I23" i="2" a="1"/>
  <c r="I23" i="2" s="1"/>
  <c r="CH3" i="2"/>
  <c r="AA26" i="2" s="1" a="1"/>
  <c r="AA26" i="2" s="1"/>
  <c r="AT3" i="2"/>
  <c r="Q26" i="2" s="1" a="1"/>
  <c r="Q26" i="2" s="1"/>
  <c r="DA3" i="2"/>
  <c r="AF25" i="2" s="1" a="1"/>
  <c r="AF25" i="2" s="1"/>
  <c r="AS3" i="2"/>
  <c r="Q25" i="2" s="1" a="1"/>
  <c r="Q25" i="2" s="1"/>
  <c r="CF3" i="2"/>
  <c r="AA24" i="2" s="1" a="1"/>
  <c r="AA24" i="2" s="1"/>
  <c r="AR3" i="2"/>
  <c r="Q24" i="2" s="1" a="1"/>
  <c r="Q24" i="2" s="1"/>
  <c r="CY3" i="2"/>
  <c r="AF23" i="2" s="1" a="1"/>
  <c r="AF23" i="2" s="1"/>
  <c r="BK3" i="2"/>
  <c r="V23" i="2" s="1" a="1"/>
  <c r="V23" i="2" s="1"/>
  <c r="W3" i="2"/>
  <c r="L23" i="2" s="1" a="1"/>
  <c r="L23" i="2" s="1"/>
  <c r="CD3" i="2"/>
  <c r="Z26" i="2" s="1" a="1"/>
  <c r="Z26" i="2" s="1"/>
  <c r="CW3" i="2"/>
  <c r="AE25" i="2" s="1" a="1"/>
  <c r="AE25" i="2" s="1"/>
  <c r="AO3" i="2"/>
  <c r="P25" i="2" s="1" a="1"/>
  <c r="P25" i="2" s="1"/>
  <c r="CT3" i="2"/>
  <c r="AD26" i="2" s="1" a="1"/>
  <c r="AD26" i="2" s="1"/>
  <c r="BZ3" i="2"/>
  <c r="Y26" i="2" s="1" a="1"/>
  <c r="Y26" i="2" s="1"/>
  <c r="BF3" i="2"/>
  <c r="T26" i="2" s="1" a="1"/>
  <c r="T26" i="2" s="1"/>
  <c r="AL3" i="2"/>
  <c r="O26" i="2" s="1" a="1"/>
  <c r="O26" i="2" s="1"/>
  <c r="R3" i="2"/>
  <c r="J26" i="2" s="1" a="1"/>
  <c r="J26" i="2" s="1"/>
  <c r="CS3" i="2"/>
  <c r="AD25" i="2" s="1" a="1"/>
  <c r="AD25" i="2" s="1"/>
  <c r="BY3" i="2"/>
  <c r="Y25" i="2" s="1" a="1"/>
  <c r="Y25" i="2" s="1"/>
  <c r="BE3" i="2"/>
  <c r="T25" i="2" s="1" a="1"/>
  <c r="T25" i="2" s="1"/>
  <c r="AK3" i="2"/>
  <c r="O25" i="2" s="1" a="1"/>
  <c r="O25" i="2" s="1"/>
  <c r="Q3" i="2"/>
  <c r="J25" i="2" s="1" a="1"/>
  <c r="J25" i="2" s="1"/>
  <c r="CN3" i="2"/>
  <c r="AC24" i="2" s="1" a="1"/>
  <c r="AC24" i="2" s="1"/>
  <c r="BT3" i="2"/>
  <c r="X24" i="2" s="1" a="1"/>
  <c r="X24" i="2" s="1"/>
  <c r="AZ3" i="2"/>
  <c r="S24" i="2" s="1" a="1"/>
  <c r="S24" i="2" s="1"/>
  <c r="AF3" i="2"/>
  <c r="N24" i="2" s="1" a="1"/>
  <c r="N24" i="2" s="1"/>
  <c r="L3" i="2"/>
  <c r="I24" i="2" s="1" a="1"/>
  <c r="I24" i="2" s="1"/>
  <c r="BR3" i="2"/>
  <c r="W26" i="2" s="1" a="1"/>
  <c r="W26" i="2" s="1"/>
  <c r="BQ3" i="2"/>
  <c r="W25" i="2" s="1" a="1"/>
  <c r="W25" i="2" s="1"/>
  <c r="AC3" i="2"/>
  <c r="M25" i="2" s="1" a="1"/>
  <c r="M25" i="2" s="1"/>
  <c r="CJ3" i="2"/>
  <c r="AB24" i="2" s="1" a="1"/>
  <c r="AB24" i="2" s="1"/>
  <c r="AV3" i="2"/>
  <c r="R24" i="2" s="1" a="1"/>
  <c r="R24" i="2" s="1"/>
  <c r="AB3" i="2"/>
  <c r="M24" i="2" s="1" a="1"/>
  <c r="M24" i="2" s="1"/>
  <c r="CI3" i="2"/>
  <c r="AB23" i="2" s="1" a="1"/>
  <c r="AB23" i="2" s="1"/>
  <c r="AU3" i="2"/>
  <c r="R23" i="2" s="1" a="1"/>
  <c r="R23" i="2" s="1"/>
  <c r="DB3" i="2"/>
  <c r="AF26" i="2" s="1" a="1"/>
  <c r="AF26" i="2" s="1"/>
  <c r="Z3" i="2"/>
  <c r="L26" i="2" s="1" a="1"/>
  <c r="L26" i="2" s="1"/>
  <c r="BM3" i="2"/>
  <c r="V25" i="2" s="1" a="1"/>
  <c r="V25" i="2" s="1"/>
  <c r="Y3" i="2"/>
  <c r="L25" i="2" s="1" a="1"/>
  <c r="L25" i="2" s="1"/>
  <c r="CZ3" i="2"/>
  <c r="AF24" i="2" s="1" a="1"/>
  <c r="AF24" i="2" s="1"/>
  <c r="CR3" i="2"/>
  <c r="AD24" i="2" s="1" a="1"/>
  <c r="AD24" i="2" s="1"/>
  <c r="BX3" i="2"/>
  <c r="Y24" i="2" s="1" a="1"/>
  <c r="Y24" i="2" s="1"/>
  <c r="BD3" i="2"/>
  <c r="T24" i="2" s="1" a="1"/>
  <c r="T24" i="2" s="1"/>
  <c r="AJ3" i="2"/>
  <c r="O24" i="2" s="1" a="1"/>
  <c r="O24" i="2" s="1"/>
  <c r="P3" i="2"/>
  <c r="J24" i="2" s="1" a="1"/>
  <c r="J24" i="2" s="1"/>
  <c r="CQ3" i="2"/>
  <c r="AD23" i="2" s="1" a="1"/>
  <c r="AD23" i="2" s="1"/>
  <c r="BW3" i="2"/>
  <c r="Y23" i="2" s="1" a="1"/>
  <c r="Y23" i="2" s="1"/>
  <c r="BC3" i="2"/>
  <c r="T23" i="2" s="1" a="1"/>
  <c r="T23" i="2" s="1"/>
  <c r="AI3" i="2"/>
  <c r="O23" i="2" s="1" a="1"/>
  <c r="O23" i="2" s="1"/>
  <c r="O3" i="2"/>
  <c r="J23" i="2" s="1" a="1"/>
  <c r="J23" i="2" s="1"/>
  <c r="CP3" i="2"/>
  <c r="AC26" i="2" s="1" a="1"/>
  <c r="AC26" i="2" s="1"/>
  <c r="BV3" i="2"/>
  <c r="X26" i="2" s="1" a="1"/>
  <c r="X26" i="2" s="1"/>
  <c r="BB3" i="2"/>
  <c r="S26" i="2" s="1" a="1"/>
  <c r="S26" i="2" s="1"/>
  <c r="AH3" i="2"/>
  <c r="N26" i="2" s="1" a="1"/>
  <c r="N26" i="2" s="1"/>
  <c r="N3" i="2"/>
  <c r="I26" i="2" s="1" a="1"/>
  <c r="I26" i="2" s="1"/>
  <c r="CO3" i="2"/>
  <c r="AC25" i="2" s="1" a="1"/>
  <c r="AC25" i="2" s="1"/>
  <c r="BU3" i="2"/>
  <c r="X25" i="2" s="1" a="1"/>
  <c r="X25" i="2" s="1"/>
  <c r="BA3" i="2"/>
  <c r="S25" i="2" s="1" a="1"/>
  <c r="S25" i="2" s="1"/>
  <c r="AG3" i="2"/>
  <c r="N25" i="2" s="1" a="1"/>
  <c r="N25" i="2" s="1"/>
  <c r="M3" i="2"/>
  <c r="I25" i="2" s="1" a="1"/>
  <c r="I25" i="2" s="1"/>
  <c r="CM3" i="2"/>
  <c r="AC23" i="2" s="1" a="1"/>
  <c r="AC23" i="2" s="1"/>
  <c r="BS3" i="2"/>
  <c r="X23" i="2" s="1" a="1"/>
  <c r="X23" i="2" s="1"/>
  <c r="AY3" i="2"/>
  <c r="S23" i="2" s="1" a="1"/>
  <c r="S23" i="2" s="1"/>
  <c r="AE3" i="2"/>
  <c r="N23" i="2" s="1" a="1"/>
  <c r="N23" i="2" s="1"/>
  <c r="BC2" i="1"/>
  <c r="CM2" i="1"/>
  <c r="BS2" i="1"/>
  <c r="AY2" i="1"/>
  <c r="CI2" i="1"/>
  <c r="BO2" i="1"/>
  <c r="AU2" i="1"/>
  <c r="CE2" i="1"/>
  <c r="BK2" i="1"/>
  <c r="AQ2" i="1"/>
  <c r="CA2" i="1"/>
  <c r="BG2" i="1"/>
  <c r="C3" i="2"/>
  <c r="D3" i="2"/>
  <c r="B5" i="2"/>
  <c r="I27" i="15" l="1"/>
  <c r="C32" i="15" a="1"/>
  <c r="C32" i="15" s="1"/>
  <c r="C37" i="15" s="1"/>
  <c r="E32" i="15"/>
  <c r="E37" i="15" s="1"/>
  <c r="B32" i="15" a="1"/>
  <c r="F32" i="15" a="1"/>
  <c r="C32" i="14"/>
  <c r="C37" i="14" s="1"/>
  <c r="E32" i="14"/>
  <c r="E37" i="14" s="1"/>
  <c r="J27" i="14"/>
  <c r="G27" i="14"/>
  <c r="F32" i="14" s="1" a="1"/>
  <c r="B32" i="14" a="1"/>
  <c r="D32" i="14"/>
  <c r="D37" i="14" s="1"/>
  <c r="C32" i="13" a="1"/>
  <c r="D32" i="13"/>
  <c r="D37" i="13" s="1"/>
  <c r="B32" i="13"/>
  <c r="B37" i="13" s="1"/>
  <c r="E32" i="13"/>
  <c r="E37" i="13" s="1"/>
  <c r="F32" i="13" a="1"/>
  <c r="K27" i="12"/>
  <c r="I27" i="12"/>
  <c r="E32" i="12" a="1"/>
  <c r="J27" i="12"/>
  <c r="H27" i="12"/>
  <c r="G27" i="12"/>
  <c r="D32" i="12" a="1"/>
  <c r="C32" i="12" a="1"/>
  <c r="E32" i="12"/>
  <c r="E37" i="12" s="1"/>
  <c r="B32" i="12" a="1"/>
  <c r="E32" i="10" a="1"/>
  <c r="D32" i="10" a="1"/>
  <c r="D32" i="10" s="1"/>
  <c r="C32" i="10" a="1"/>
  <c r="C32" i="10" s="1"/>
  <c r="B32" i="10" a="1"/>
  <c r="B32" i="10" s="1"/>
  <c r="H27" i="10"/>
  <c r="J27" i="10"/>
  <c r="I27" i="10"/>
  <c r="K27" i="10"/>
  <c r="G27" i="10"/>
  <c r="CU2" i="8"/>
  <c r="AY2" i="9"/>
  <c r="BW2" i="9"/>
  <c r="AE24" i="8" a="1"/>
  <c r="AE24" i="8" s="1"/>
  <c r="AE27" i="8" s="1"/>
  <c r="S2" i="9"/>
  <c r="Y27" i="9"/>
  <c r="W2" i="9"/>
  <c r="AU2" i="9"/>
  <c r="AM2" i="9"/>
  <c r="BC2" i="9"/>
  <c r="W27" i="9"/>
  <c r="I23" i="9" a="1"/>
  <c r="I23" i="9" s="1"/>
  <c r="I27" i="9" s="1"/>
  <c r="K2" i="9"/>
  <c r="CA2" i="9"/>
  <c r="BG2" i="9"/>
  <c r="H23" i="9" a="1"/>
  <c r="H23" i="9" s="1"/>
  <c r="G2" i="9"/>
  <c r="F2" i="9"/>
  <c r="BO2" i="9"/>
  <c r="U23" i="9" a="1"/>
  <c r="U23" i="9" s="1"/>
  <c r="U27" i="9" s="1"/>
  <c r="O2" i="9"/>
  <c r="J23" i="9" a="1"/>
  <c r="J23" i="9" s="1"/>
  <c r="J27" i="9" s="1"/>
  <c r="J32" i="9" a="1"/>
  <c r="T23" i="9" a="1"/>
  <c r="T23" i="9" s="1"/>
  <c r="T27" i="9" s="1"/>
  <c r="CE2" i="9"/>
  <c r="AA23" i="9" a="1"/>
  <c r="AA23" i="9" s="1"/>
  <c r="AA27" i="9" s="1"/>
  <c r="O27" i="9"/>
  <c r="P23" i="9" a="1"/>
  <c r="P23" i="9" s="1"/>
  <c r="P27" i="9" s="1"/>
  <c r="AE2" i="9"/>
  <c r="N23" i="9" a="1"/>
  <c r="N23" i="9" s="1"/>
  <c r="N27" i="9" s="1"/>
  <c r="BS2" i="9"/>
  <c r="X23" i="9" a="1"/>
  <c r="X23" i="9" s="1"/>
  <c r="X27" i="9" s="1"/>
  <c r="M23" i="9" a="1"/>
  <c r="M23" i="9" s="1"/>
  <c r="M27" i="9" s="1"/>
  <c r="AA2" i="9"/>
  <c r="AC23" i="9" a="1"/>
  <c r="AC23" i="9" s="1"/>
  <c r="AC27" i="9" s="1"/>
  <c r="CM2" i="9"/>
  <c r="R27" i="9"/>
  <c r="AI2" i="9"/>
  <c r="K32" i="9" a="1"/>
  <c r="Q27" i="9"/>
  <c r="S23" i="9" a="1"/>
  <c r="S23" i="9" s="1"/>
  <c r="S27" i="9" s="1"/>
  <c r="Z23" i="9" a="1"/>
  <c r="Z23" i="9" s="1"/>
  <c r="Z27" i="9" s="1"/>
  <c r="AB23" i="9" a="1"/>
  <c r="AB23" i="9" s="1"/>
  <c r="AB27" i="9" s="1"/>
  <c r="CI2" i="9"/>
  <c r="AD23" i="9" a="1"/>
  <c r="AD23" i="9" s="1"/>
  <c r="AD27" i="9" s="1"/>
  <c r="CQ2" i="9"/>
  <c r="I32" i="9" a="1"/>
  <c r="BK2" i="9"/>
  <c r="V23" i="9" a="1"/>
  <c r="V23" i="9" s="1"/>
  <c r="V27" i="9" s="1"/>
  <c r="CY2" i="9"/>
  <c r="AF23" i="9" a="1"/>
  <c r="AF23" i="9" s="1"/>
  <c r="AF27" i="9" s="1"/>
  <c r="K27" i="9"/>
  <c r="K2" i="8"/>
  <c r="Z27" i="8"/>
  <c r="AU2" i="8"/>
  <c r="AE27" i="1"/>
  <c r="S2" i="8"/>
  <c r="BK2" i="8"/>
  <c r="U27" i="8"/>
  <c r="BC2" i="8"/>
  <c r="BG2" i="8"/>
  <c r="M27" i="8"/>
  <c r="J32" i="8" a="1"/>
  <c r="BO2" i="8"/>
  <c r="Q27" i="8"/>
  <c r="AB23" i="8" a="1"/>
  <c r="AB23" i="8" s="1"/>
  <c r="AB27" i="8" s="1"/>
  <c r="CI2" i="8"/>
  <c r="BW2" i="8"/>
  <c r="BS2" i="8"/>
  <c r="T23" i="8" a="1"/>
  <c r="T23" i="8" s="1"/>
  <c r="T27" i="8" s="1"/>
  <c r="R23" i="8" a="1"/>
  <c r="R23" i="8" s="1"/>
  <c r="R27" i="8" s="1"/>
  <c r="W27" i="8"/>
  <c r="AA2" i="8"/>
  <c r="P23" i="8" a="1"/>
  <c r="P23" i="8" s="1"/>
  <c r="P27" i="8" s="1"/>
  <c r="AM2" i="8"/>
  <c r="K32" i="8" a="1"/>
  <c r="AE2" i="8"/>
  <c r="N23" i="8" a="1"/>
  <c r="N23" i="8" s="1"/>
  <c r="N27" i="8" s="1"/>
  <c r="CM2" i="8"/>
  <c r="K27" i="8"/>
  <c r="J23" i="8" a="1"/>
  <c r="J23" i="8" s="1"/>
  <c r="J27" i="8" s="1"/>
  <c r="O2" i="8"/>
  <c r="O23" i="8" a="1"/>
  <c r="O23" i="8" s="1"/>
  <c r="O27" i="8" s="1"/>
  <c r="AI2" i="8"/>
  <c r="W2" i="8"/>
  <c r="L23" i="8" a="1"/>
  <c r="L23" i="8" s="1"/>
  <c r="L27" i="8" s="1"/>
  <c r="S27" i="8"/>
  <c r="X27" i="8"/>
  <c r="AC27" i="8"/>
  <c r="CA2" i="8"/>
  <c r="H23" i="8" a="1"/>
  <c r="H23" i="8" s="1"/>
  <c r="G2" i="8"/>
  <c r="F2" i="8"/>
  <c r="AA23" i="8" a="1"/>
  <c r="AA23" i="8" s="1"/>
  <c r="AA27" i="8" s="1"/>
  <c r="CE2" i="8"/>
  <c r="CY2" i="8"/>
  <c r="AF23" i="8" a="1"/>
  <c r="AF23" i="8" s="1"/>
  <c r="AF27" i="8" s="1"/>
  <c r="AD23" i="8" a="1"/>
  <c r="AD23" i="8" s="1"/>
  <c r="AD27" i="8" s="1"/>
  <c r="CQ2" i="8"/>
  <c r="Y23" i="8" a="1"/>
  <c r="Y23" i="8" s="1"/>
  <c r="Y27" i="8" s="1"/>
  <c r="V27" i="8"/>
  <c r="AY2" i="8"/>
  <c r="I23" i="8" a="1"/>
  <c r="I23" i="8" s="1"/>
  <c r="I27" i="8" s="1"/>
  <c r="AQ2" i="8"/>
  <c r="S27" i="1"/>
  <c r="S2" i="1"/>
  <c r="DK8" i="1" s="1"/>
  <c r="Z27" i="1"/>
  <c r="L26" i="1" a="1"/>
  <c r="L26" i="1" s="1"/>
  <c r="AD27" i="1"/>
  <c r="O27" i="1"/>
  <c r="T27" i="1"/>
  <c r="K24" i="1" s="1" a="1"/>
  <c r="K24" i="1" s="1"/>
  <c r="X27" i="1"/>
  <c r="L24" i="1" a="1"/>
  <c r="L24" i="1" s="1"/>
  <c r="W27" i="1"/>
  <c r="V27" i="1"/>
  <c r="K26" i="1" a="1"/>
  <c r="K26" i="1" s="1"/>
  <c r="Y27" i="1"/>
  <c r="L25" i="1" a="1"/>
  <c r="L25" i="1" s="1"/>
  <c r="R27" i="1"/>
  <c r="J26" i="1" s="1" a="1"/>
  <c r="J26" i="1" s="1"/>
  <c r="U27" i="1"/>
  <c r="K25" i="1" a="1"/>
  <c r="K25" i="1" s="1"/>
  <c r="K32" i="2" a="1"/>
  <c r="J32" i="2" a="1"/>
  <c r="I32" i="2" a="1"/>
  <c r="H32" i="2" a="1"/>
  <c r="J27" i="2"/>
  <c r="I27" i="2"/>
  <c r="P27" i="2"/>
  <c r="V27" i="2"/>
  <c r="X27" i="2"/>
  <c r="M27" i="2"/>
  <c r="AD27" i="2"/>
  <c r="AC27" i="2"/>
  <c r="AB27" i="2"/>
  <c r="O27" i="2"/>
  <c r="R27" i="2"/>
  <c r="H27" i="2"/>
  <c r="K27" i="2"/>
  <c r="Q27" i="2"/>
  <c r="S27" i="2"/>
  <c r="U27" i="2"/>
  <c r="AF27" i="2"/>
  <c r="Y27" i="2"/>
  <c r="W27" i="2"/>
  <c r="T27" i="2"/>
  <c r="Z27" i="2"/>
  <c r="AE27" i="2"/>
  <c r="AA27" i="2"/>
  <c r="N27" i="2"/>
  <c r="L27" i="2"/>
  <c r="S2" i="2"/>
  <c r="CA2" i="2"/>
  <c r="BW2" i="2"/>
  <c r="CU2" i="2"/>
  <c r="AI2" i="2"/>
  <c r="CI2" i="2"/>
  <c r="BG2" i="2"/>
  <c r="AE2" i="2"/>
  <c r="K2" i="2"/>
  <c r="AM2" i="2"/>
  <c r="BK2" i="2"/>
  <c r="O2" i="2"/>
  <c r="AA2" i="2"/>
  <c r="CQ2" i="2"/>
  <c r="AU2" i="2"/>
  <c r="AQ2" i="2"/>
  <c r="AY2" i="2"/>
  <c r="BS2" i="2"/>
  <c r="CM2" i="2"/>
  <c r="W2" i="2"/>
  <c r="CE2" i="2"/>
  <c r="CY2" i="2"/>
  <c r="BC2" i="2"/>
  <c r="BO2" i="2"/>
  <c r="F2" i="2"/>
  <c r="G2" i="2"/>
  <c r="F32" i="15" l="1"/>
  <c r="F37" i="15" s="1"/>
  <c r="B32" i="15"/>
  <c r="B37" i="15" s="1"/>
  <c r="B32" i="14"/>
  <c r="B37" i="14" s="1"/>
  <c r="F32" i="14"/>
  <c r="F37" i="14" s="1"/>
  <c r="F32" i="13"/>
  <c r="F37" i="13" s="1"/>
  <c r="C32" i="13"/>
  <c r="C37" i="13" s="1"/>
  <c r="F32" i="12" a="1"/>
  <c r="F32" i="12" s="1"/>
  <c r="F37" i="12" s="1"/>
  <c r="D32" i="12"/>
  <c r="D37" i="12" s="1"/>
  <c r="B32" i="12"/>
  <c r="B37" i="12" s="1"/>
  <c r="C32" i="12"/>
  <c r="C37" i="12" s="1"/>
  <c r="F32" i="10" a="1"/>
  <c r="F32" i="10" s="1"/>
  <c r="E32" i="10"/>
  <c r="E37" i="10"/>
  <c r="C37" i="10"/>
  <c r="B37" i="10"/>
  <c r="D37" i="10"/>
  <c r="I32" i="8" a="1"/>
  <c r="I32" i="8" s="1"/>
  <c r="I57" i="8" s="1"/>
  <c r="K32" i="9"/>
  <c r="K57" i="9"/>
  <c r="I32" i="9"/>
  <c r="I57" i="9" s="1"/>
  <c r="J32" i="9"/>
  <c r="J57" i="9" s="1"/>
  <c r="H27" i="9"/>
  <c r="L32" i="9" s="1" a="1"/>
  <c r="H32" i="9" a="1"/>
  <c r="K32" i="8"/>
  <c r="K57" i="8" s="1"/>
  <c r="H27" i="8"/>
  <c r="L32" i="8" s="1" a="1"/>
  <c r="H32" i="8" a="1"/>
  <c r="J32" i="8"/>
  <c r="J57" i="8" s="1"/>
  <c r="K23" i="1" a="1"/>
  <c r="K23" i="1" s="1"/>
  <c r="K27" i="1" s="1"/>
  <c r="M26" i="1" a="1"/>
  <c r="M26" i="1" s="1"/>
  <c r="AA2" i="1"/>
  <c r="DK10" i="1" s="1"/>
  <c r="N23" i="1" a="1"/>
  <c r="N23" i="1" s="1"/>
  <c r="AE2" i="1"/>
  <c r="DK11" i="1" s="1"/>
  <c r="L23" i="1" a="1"/>
  <c r="L23" i="1" s="1"/>
  <c r="W2" i="1"/>
  <c r="DK9" i="1" s="1"/>
  <c r="J23" i="1" a="1"/>
  <c r="J23" i="1" s="1"/>
  <c r="O2" i="1"/>
  <c r="DK7" i="1" s="1"/>
  <c r="H32" i="2"/>
  <c r="H57" i="2" s="1"/>
  <c r="I32" i="2"/>
  <c r="I57" i="2" s="1"/>
  <c r="J32" i="2"/>
  <c r="J57" i="2"/>
  <c r="K32" i="2"/>
  <c r="K57" i="2"/>
  <c r="L32" i="2" a="1"/>
  <c r="F37" i="10" l="1"/>
  <c r="H15" i="7"/>
  <c r="H16" i="7"/>
  <c r="H17" i="7"/>
  <c r="H18" i="7"/>
  <c r="H19" i="7"/>
  <c r="H20" i="7"/>
  <c r="H21" i="7"/>
  <c r="H23" i="7"/>
  <c r="H24" i="7"/>
  <c r="H25" i="7"/>
  <c r="H26" i="7"/>
  <c r="H27" i="7"/>
  <c r="H8" i="7"/>
  <c r="H28" i="7"/>
  <c r="H9" i="7"/>
  <c r="H29" i="7"/>
  <c r="H22" i="7"/>
  <c r="H10" i="7"/>
  <c r="H30" i="7"/>
  <c r="H11" i="7"/>
  <c r="H31" i="7"/>
  <c r="H12" i="7"/>
  <c r="H13" i="7"/>
  <c r="H14" i="7"/>
  <c r="G9" i="7"/>
  <c r="G29" i="7"/>
  <c r="G10" i="7"/>
  <c r="G30" i="7"/>
  <c r="G11" i="7"/>
  <c r="G31" i="7"/>
  <c r="G12" i="7"/>
  <c r="G13" i="7"/>
  <c r="G14" i="7"/>
  <c r="G15" i="7"/>
  <c r="G17" i="7"/>
  <c r="G18" i="7"/>
  <c r="G19" i="7"/>
  <c r="G20" i="7"/>
  <c r="G21" i="7"/>
  <c r="G22" i="7"/>
  <c r="G23" i="7"/>
  <c r="G16" i="7"/>
  <c r="G24" i="7"/>
  <c r="G25" i="7"/>
  <c r="G26" i="7"/>
  <c r="G27" i="7"/>
  <c r="G8" i="7"/>
  <c r="G28" i="7"/>
  <c r="I21" i="7"/>
  <c r="I22" i="7"/>
  <c r="I23" i="7"/>
  <c r="I24" i="7"/>
  <c r="I25" i="7"/>
  <c r="I26" i="7"/>
  <c r="I27" i="7"/>
  <c r="I9" i="7"/>
  <c r="I29" i="7"/>
  <c r="I10" i="7"/>
  <c r="I30" i="7"/>
  <c r="I11" i="7"/>
  <c r="I31" i="7"/>
  <c r="I12" i="7"/>
  <c r="I13" i="7"/>
  <c r="I14" i="7"/>
  <c r="I15" i="7"/>
  <c r="I8" i="7"/>
  <c r="I28" i="7"/>
  <c r="I16" i="7"/>
  <c r="I17" i="7"/>
  <c r="I18" i="7"/>
  <c r="I19" i="7"/>
  <c r="I20" i="7"/>
  <c r="H32" i="9"/>
  <c r="H57" i="9" s="1"/>
  <c r="L32" i="9"/>
  <c r="I7" i="7" s="1"/>
  <c r="H32" i="8"/>
  <c r="H57" i="8" s="1"/>
  <c r="L32" i="8"/>
  <c r="I23" i="1" a="1"/>
  <c r="I23" i="1" s="1"/>
  <c r="H32" i="1" s="1" a="1"/>
  <c r="J27" i="1"/>
  <c r="H26" i="1" s="1" a="1"/>
  <c r="H26" i="1" s="1"/>
  <c r="L27" i="1"/>
  <c r="I24" i="1" a="1"/>
  <c r="I24" i="1" s="1"/>
  <c r="N27" i="1"/>
  <c r="I26" i="1" s="1" a="1"/>
  <c r="I26" i="1" s="1"/>
  <c r="M27" i="1"/>
  <c r="I25" i="1" s="1" a="1"/>
  <c r="I25" i="1" s="1"/>
  <c r="L32" i="2"/>
  <c r="L57" i="8" l="1"/>
  <c r="H32" i="7" s="1"/>
  <c r="H7" i="7"/>
  <c r="L57" i="9"/>
  <c r="I32" i="7" s="1"/>
  <c r="L57" i="2"/>
  <c r="G32" i="7" s="1"/>
  <c r="G7" i="7"/>
  <c r="K32" i="1" a="1"/>
  <c r="H32" i="1"/>
  <c r="H57" i="1" s="1"/>
  <c r="K2" i="1"/>
  <c r="DK6" i="1" s="1"/>
  <c r="I27" i="1"/>
  <c r="H25" i="1" a="1"/>
  <c r="H25" i="1" s="1"/>
  <c r="J32" i="1" s="1" a="1"/>
  <c r="G2" i="1"/>
  <c r="DK5" i="1" s="1"/>
  <c r="H24" i="1" a="1"/>
  <c r="H24" i="1" s="1"/>
  <c r="F2" i="1"/>
  <c r="H27" i="1" l="1"/>
  <c r="L32" i="1" s="1" a="1"/>
  <c r="I32" i="1" a="1"/>
  <c r="J32" i="1"/>
  <c r="J57" i="1" s="1"/>
  <c r="K32" i="1"/>
  <c r="K57" i="1" s="1"/>
  <c r="F27" i="7" l="1"/>
  <c r="F8" i="7"/>
  <c r="F28" i="7"/>
  <c r="F9" i="7"/>
  <c r="F29" i="7"/>
  <c r="F10" i="7"/>
  <c r="F30" i="7"/>
  <c r="F11" i="7"/>
  <c r="F31" i="7"/>
  <c r="F12" i="7"/>
  <c r="F13" i="7"/>
  <c r="F15" i="7"/>
  <c r="F16" i="7"/>
  <c r="F17" i="7"/>
  <c r="F18" i="7"/>
  <c r="F19" i="7"/>
  <c r="F20" i="7"/>
  <c r="F21" i="7"/>
  <c r="F14" i="7"/>
  <c r="F22" i="7"/>
  <c r="F23" i="7"/>
  <c r="F24" i="7"/>
  <c r="F25" i="7"/>
  <c r="F26" i="7"/>
  <c r="I32" i="1"/>
  <c r="I57" i="1" s="1"/>
  <c r="L32" i="1"/>
  <c r="L57" i="1" l="1"/>
  <c r="F32" i="7" s="1"/>
  <c r="F7" i="7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<sst xmlns="http://schemas.openxmlformats.org/spreadsheetml/2006/main" count="1131" uniqueCount="201">
  <si>
    <t>Marca temporal</t>
  </si>
  <si>
    <t>¿Cuantos años de experiencia tienes enseñando Python?</t>
  </si>
  <si>
    <t>¿Con qué frecuencia utiliza modelos de IA para apoyarte en la práctica docente?</t>
  </si>
  <si>
    <t>¿Cual es tu actitud hacia el uso de la IA en educación?</t>
  </si>
  <si>
    <t>Pregunta 1 [Claridad técnica]</t>
  </si>
  <si>
    <t>Pregunta 1 [Nivel de dificultad adecuado]</t>
  </si>
  <si>
    <t>Pregunta 1 [Calidad de los distractores]</t>
  </si>
  <si>
    <t>Pregunta 1 [Validez pedagógica]</t>
  </si>
  <si>
    <t xml:space="preserve">¿Consideras que la IA es capaz de sustituir la creación manual de exámenes de programación a corto plazo? </t>
  </si>
  <si>
    <t>Espacio libre. Deja los comentarios que creas oportunos.</t>
  </si>
  <si>
    <t>Pregunta 2 [Claridad técnica]</t>
  </si>
  <si>
    <t>Pregunta 2 [Nivel de dificultad adecuado]</t>
  </si>
  <si>
    <t>Pregunta 2 [Calidad de los distractores]</t>
  </si>
  <si>
    <t>Pregunta 2 [Validez pedagógica]</t>
  </si>
  <si>
    <t>Pregunta 3 [Claridad técnica]</t>
  </si>
  <si>
    <t>Pregunta 3 [Nivel de dificultad adecuado]</t>
  </si>
  <si>
    <t>Pregunta 3 [Calidad de los distractores]</t>
  </si>
  <si>
    <t>Pregunta 3 [Validez pedagógica]</t>
  </si>
  <si>
    <t>Pregunta 4 [Claridad técnica]</t>
  </si>
  <si>
    <t>Pregunta 4 [Nivel de dificultad adecuado]</t>
  </si>
  <si>
    <t>Pregunta 4 [Calidad de los distractores]</t>
  </si>
  <si>
    <t>Pregunta 4 [Validez pedagógica]</t>
  </si>
  <si>
    <t>Pregunta 5 [Claridad técnica]</t>
  </si>
  <si>
    <t>Pregunta 5 [Nivel de dificultad adecuado]</t>
  </si>
  <si>
    <t>Pregunta 5 [Calidad de los distractores]</t>
  </si>
  <si>
    <t>Pregunta 5 [Validez pedagógica]</t>
  </si>
  <si>
    <t>Pregunta 6 [Claridad técnica]</t>
  </si>
  <si>
    <t>Pregunta 6 [Nivel de dificultad adecuado]</t>
  </si>
  <si>
    <t>Pregunta 6 [Calidad de los distractores]</t>
  </si>
  <si>
    <t>Pregunta 6 [Validez pedagógica]</t>
  </si>
  <si>
    <t>Pregunta 7 [Claridad técnica]</t>
  </si>
  <si>
    <t>Pregunta 7 [Nivel de dificultad adecuado]</t>
  </si>
  <si>
    <t>Pregunta 7 [Calidad de los distractores]</t>
  </si>
  <si>
    <t>Pregunta 7 [Validez pedagógica]</t>
  </si>
  <si>
    <t>Pregunta 8 [Claridad técnica]</t>
  </si>
  <si>
    <t>Pregunta 8 [Nivel de dificultad adecuado]</t>
  </si>
  <si>
    <t>Pregunta 8 [Calidad de los distractores]</t>
  </si>
  <si>
    <t>Pregunta 8 [Validez pedagógica]</t>
  </si>
  <si>
    <t>Pregunta 9 [Claridad técnica]</t>
  </si>
  <si>
    <t>Pregunta 9 [Nivel de dificultad adecuado]</t>
  </si>
  <si>
    <t>Pregunta 9 [Calidad de los distractores]</t>
  </si>
  <si>
    <t>Pregunta 9 [Validez pedagógica]</t>
  </si>
  <si>
    <t>Pregunta 10 [Claridad técnica]</t>
  </si>
  <si>
    <t>Pregunta 10 [Nivel de dificultad adecuado]</t>
  </si>
  <si>
    <t>Pregunta 10 [Calidad de los distractores]</t>
  </si>
  <si>
    <t>Pregunta 10 [Validez pedagógica]</t>
  </si>
  <si>
    <t>Pregunta 11 [Claridad técnica]</t>
  </si>
  <si>
    <t>Pregunta 11 [Nivel de dificultad adecuado]</t>
  </si>
  <si>
    <t>Pregunta 11 [Calidad de los distractores]</t>
  </si>
  <si>
    <t>Pregunta 11 [Validez pedagógica]</t>
  </si>
  <si>
    <t>Pregunta 12 [Claridad técnica]</t>
  </si>
  <si>
    <t>Pregunta 12 [Nivel de dificultad adecuado]</t>
  </si>
  <si>
    <t>Pregunta 12 [Calidad de los distractores]</t>
  </si>
  <si>
    <t>Pregunta 12 [Validez pedagógica]</t>
  </si>
  <si>
    <t>Pregunta 13 [Claridad técnica]</t>
  </si>
  <si>
    <t>Pregunta 13 [Nivel de dificultad adecuado]</t>
  </si>
  <si>
    <t>Pregunta 13 [Calidad de los distractores]</t>
  </si>
  <si>
    <t>Pregunta 13 [Validez pedagógica]</t>
  </si>
  <si>
    <t>Pregunta 14 [Claridad técnica]</t>
  </si>
  <si>
    <t>Pregunta 14 [Nivel de dificultad adecuado]</t>
  </si>
  <si>
    <t>Pregunta 14 [Calidad de los distractores]</t>
  </si>
  <si>
    <t>Pregunta 14 [Validez pedagógica]</t>
  </si>
  <si>
    <t>Pregunta 15 [Claridad técnica]</t>
  </si>
  <si>
    <t>Pregunta 15 [Nivel de dificultad adecuado]</t>
  </si>
  <si>
    <t>Pregunta 15 [Calidad de los distractores]</t>
  </si>
  <si>
    <t>Pregunta 15 [Validez pedagógica]</t>
  </si>
  <si>
    <t>Pregunta 16 [Claridad técnica]</t>
  </si>
  <si>
    <t>Pregunta 16 [Nivel de dificultad adecuado]</t>
  </si>
  <si>
    <t>Pregunta 16 [Calidad de los distractores]</t>
  </si>
  <si>
    <t>Pregunta 16 [Validez pedagógica]</t>
  </si>
  <si>
    <t>Pregunta 17 [Claridad técnica]</t>
  </si>
  <si>
    <t>Pregunta 17 [Nivel de dificultad adecuado]</t>
  </si>
  <si>
    <t>Pregunta 17 [Calidad de los distractores]</t>
  </si>
  <si>
    <t>Pregunta 17 [Validez pedagógica]</t>
  </si>
  <si>
    <t>Pregunta 18 [Claridad técnica]</t>
  </si>
  <si>
    <t>Pregunta 18 [Nivel de dificultad adecuado]</t>
  </si>
  <si>
    <t>Pregunta 18 [Calidad de los distractores]</t>
  </si>
  <si>
    <t>Pregunta 18 [Validez pedagógica]</t>
  </si>
  <si>
    <t>Pregunta 19 [Claridad técnica]</t>
  </si>
  <si>
    <t>Pregunta 19 [Nivel de dificultad adecuado]</t>
  </si>
  <si>
    <t>Pregunta 19 [Calidad de los distractores]</t>
  </si>
  <si>
    <t>Pregunta 19 [Validez pedagógica]</t>
  </si>
  <si>
    <t>Pregunta 20 [Claridad técnica]</t>
  </si>
  <si>
    <t>Pregunta 20 [Nivel de dificultad adecuado]</t>
  </si>
  <si>
    <t>Pregunta 20 [Calidad de los distractores]</t>
  </si>
  <si>
    <t>Pregunta 20 [Validez pedagógica]</t>
  </si>
  <si>
    <t>Pregunta 21 [Claridad técnica]</t>
  </si>
  <si>
    <t>Pregunta 21 [Nivel de dificultad adecuado]</t>
  </si>
  <si>
    <t>Pregunta 21 [Calidad de los distractores]</t>
  </si>
  <si>
    <t>Pregunta 21 [Validez pedagógica]</t>
  </si>
  <si>
    <t>Pregunta 22 [Claridad técnica]</t>
  </si>
  <si>
    <t>Pregunta 22 [Nivel de dificultad adecuado]</t>
  </si>
  <si>
    <t>Pregunta 22 [Calidad de los distractores]</t>
  </si>
  <si>
    <t>Pregunta 22 [Validez pedagógica]</t>
  </si>
  <si>
    <t>Pregunta 23 [Claridad técnica]</t>
  </si>
  <si>
    <t>Pregunta 23 [Nivel de dificultad adecuado]</t>
  </si>
  <si>
    <t>Pregunta 23 [Calidad de los distractores]</t>
  </si>
  <si>
    <t>Pregunta 23 [Validez pedagógica]</t>
  </si>
  <si>
    <t>Pregunta 24 [Claridad técnica]</t>
  </si>
  <si>
    <t>Pregunta 24 [Nivel de dificultad adecuado]</t>
  </si>
  <si>
    <t>Pregunta 24 [Calidad de los distractores]</t>
  </si>
  <si>
    <t>Pregunta 24 [Validez pedagógica]</t>
  </si>
  <si>
    <t>Pregunta 25 [Claridad técnica]</t>
  </si>
  <si>
    <t>Pregunta 25 [Nivel de dificultad adecuado]</t>
  </si>
  <si>
    <t>Pregunta 25 [Calidad de los distractores]</t>
  </si>
  <si>
    <t>Pregunta 25 [Validez pedagógica]</t>
  </si>
  <si>
    <t xml:space="preserve">¿Cuanto tiempo crees que te llevaría hacer un examen como este de 25 pegruntas sin ayuda de la IA? </t>
  </si>
  <si>
    <t>De 3 a 7 años</t>
  </si>
  <si>
    <t>Solo con supervisión</t>
  </si>
  <si>
    <t>En la última pregunta dejaría claro si te refieres a cuánto llevaría con o sin IA. Entiendo que es usando lo que quieras.</t>
  </si>
  <si>
    <t>1 hora</t>
  </si>
  <si>
    <t>2-3 horas</t>
  </si>
  <si>
    <t>1 año</t>
  </si>
  <si>
    <t>De 1 a 3 años</t>
  </si>
  <si>
    <t>4-5 horas</t>
  </si>
  <si>
    <t>El test por si solo no es relevante. La relevancia  reside en que la prueba sea acorde a las competencias y contenidos abordados a lo largo del curso. Por qué tanto peso a las expresiones regulares? Por qué no hay más preguntas sobre el flujo de ejecución de un programa? Está bien balanceado el tipo de preguntas y dificultad? Y por último, es un examen de tipo test lo más adecuado para un módulo de programación?</t>
  </si>
  <si>
    <t>La IA puede ayudar a generar preguntas, apuntes, ... pero hay que trabajar los promts adecuados para conseguir los objetivos deseados</t>
  </si>
  <si>
    <t>PRG_01</t>
  </si>
  <si>
    <t>PRG_02</t>
  </si>
  <si>
    <t>PRG_03</t>
  </si>
  <si>
    <t>PRG_04</t>
  </si>
  <si>
    <t>PRG_05</t>
  </si>
  <si>
    <t>PRG_06</t>
  </si>
  <si>
    <t>PRG_07</t>
  </si>
  <si>
    <t>PRG_08</t>
  </si>
  <si>
    <t>PRG_09</t>
  </si>
  <si>
    <t>PRG_10</t>
  </si>
  <si>
    <t>PRG_11</t>
  </si>
  <si>
    <t>PRG_12</t>
  </si>
  <si>
    <t>PRG_13</t>
  </si>
  <si>
    <t>PRG_14</t>
  </si>
  <si>
    <t>PRG_15</t>
  </si>
  <si>
    <t>PRG_16</t>
  </si>
  <si>
    <t>PRG_17</t>
  </si>
  <si>
    <t>PRG_18</t>
  </si>
  <si>
    <t>PRG_19</t>
  </si>
  <si>
    <t>PRG_20</t>
  </si>
  <si>
    <t>PRG_21</t>
  </si>
  <si>
    <t>PRG_22</t>
  </si>
  <si>
    <t>PRG_23</t>
  </si>
  <si>
    <t>PRG_24</t>
  </si>
  <si>
    <t>PRG_25</t>
  </si>
  <si>
    <t>MEDIA DE CALIDADES POR GRUPOS</t>
  </si>
  <si>
    <t>Validez pedagógica</t>
  </si>
  <si>
    <t>Calidad de los distractores</t>
  </si>
  <si>
    <t xml:space="preserve"> Claridad técnica</t>
  </si>
  <si>
    <t>Nivel de dificultad adecuado</t>
  </si>
  <si>
    <t>Promedio</t>
  </si>
  <si>
    <t>Q_01</t>
  </si>
  <si>
    <t>Q_02</t>
  </si>
  <si>
    <t>Q_03</t>
  </si>
  <si>
    <t>Q_04</t>
  </si>
  <si>
    <t>Q_05</t>
  </si>
  <si>
    <t>Q_06</t>
  </si>
  <si>
    <t>Q_07</t>
  </si>
  <si>
    <t>Q_08</t>
  </si>
  <si>
    <t>Q_09</t>
  </si>
  <si>
    <t>Q_10</t>
  </si>
  <si>
    <t>Q_11</t>
  </si>
  <si>
    <t>Q_12</t>
  </si>
  <si>
    <t>Q_13</t>
  </si>
  <si>
    <t>Q_14</t>
  </si>
  <si>
    <t>Q_15</t>
  </si>
  <si>
    <t>Q_16</t>
  </si>
  <si>
    <t>Q_17</t>
  </si>
  <si>
    <t>Q_18</t>
  </si>
  <si>
    <t>Q_19</t>
  </si>
  <si>
    <t>Q_20</t>
  </si>
  <si>
    <t>Q_21</t>
  </si>
  <si>
    <t>Q_22</t>
  </si>
  <si>
    <t>Q_23</t>
  </si>
  <si>
    <t>Q_24</t>
  </si>
  <si>
    <t>Q_25</t>
  </si>
  <si>
    <t>Media</t>
  </si>
  <si>
    <t>La IA no es perfecta, pero tampoco lo somos los docentes. En la elaboración de test, la combinación de criterio docente e IA permite reducir errores y aligerar notablemente la carga de trabajo. En el futuro, es posible que el papel humano en estas tareas sea cada vez menor.</t>
  </si>
  <si>
    <t>1 a 3 años</t>
  </si>
  <si>
    <t>3 a 7 años</t>
  </si>
  <si>
    <t>Q_26</t>
  </si>
  <si>
    <t>Todos</t>
  </si>
  <si>
    <t>PERFIL DE DOCENTE</t>
  </si>
  <si>
    <t>Maximo</t>
  </si>
  <si>
    <t>Mínimo</t>
  </si>
  <si>
    <t>FRECUENCIA DE USO DE LA IA</t>
  </si>
  <si>
    <t>Uso</t>
  </si>
  <si>
    <t>Docentes</t>
  </si>
  <si>
    <t>ACTITUD</t>
  </si>
  <si>
    <t>Actitud</t>
  </si>
  <si>
    <t>REFLEXIÓN</t>
  </si>
  <si>
    <t>Con supervisión</t>
  </si>
  <si>
    <t>No</t>
  </si>
  <si>
    <t>Si</t>
  </si>
  <si>
    <t>Cadenas</t>
  </si>
  <si>
    <t>Diccionarios</t>
  </si>
  <si>
    <t>Expersiones</t>
  </si>
  <si>
    <t>Listas</t>
  </si>
  <si>
    <t>Utilidades</t>
  </si>
  <si>
    <t>Qwen</t>
  </si>
  <si>
    <t>ChatGPT</t>
  </si>
  <si>
    <t>Claude</t>
  </si>
  <si>
    <t>Gemini</t>
  </si>
  <si>
    <t>Mistral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</si>
</sst>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8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3" borderId="0" xfId="0" applyFill="1"/>
    <xf numFmtId="0" fontId="0" fillId="0" borderId="0" xfId="0" applyAlignment="1">
      <alignment horizontal="center" vertical="center"/>
    </xf>
    <xf numFmtId="2" fontId="0" fillId="0" borderId="0" xfId="0" applyNumberFormat="1"/>
    <xf numFmtId="2" fontId="0" fillId="3" borderId="0" xfId="0" applyNumberForma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3" borderId="0" xfId="0" applyFill="1" applyAlignment="1">
      <alignment horizontal="right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10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center" textRotation="0" wrapText="0" indent="0" justifyLastLine="0" shrinkToFit="0" readingOrder="0"/>
    </dxf>
    <dxf>
      <fill>
        <patternFill patternType="solid">
          <fgColor indexed="64"/>
          <bgColor theme="0" tint="-0.14999847407452621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Respuestas de formulario 1-style" pivot="0" count="4" xr9:uid="{00000000-0011-0000-FFFF-FFFF00000000}">
      <tableStyleElement type="wholeTable" size="0" dxfId="101"/>
      <tableStyleElement type="headerRow" dxfId="100"/>
      <tableStyleElement type="firstRowStripe" dxfId="99"/>
      <tableStyleElement type="secondRowStripe" dxfId="98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Calidad</a:t>
            </a:r>
            <a:r>
              <a:rPr lang="es-ES" baseline="0"/>
              <a:t> de las preguntas por experiencia del docente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Graph!$F$6</c:f>
              <c:strCache>
                <c:ptCount val="1"/>
                <c:pt idx="0">
                  <c:v>Todos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Graph!$E$7:$E$32</c:f>
              <c:strCache>
                <c:ptCount val="26"/>
                <c:pt idx="0">
                  <c:v>Q_01</c:v>
                </c:pt>
                <c:pt idx="1">
                  <c:v>Q_02</c:v>
                </c:pt>
                <c:pt idx="2">
                  <c:v>Q_03</c:v>
                </c:pt>
                <c:pt idx="3">
                  <c:v>Q_04</c:v>
                </c:pt>
                <c:pt idx="4">
                  <c:v>Q_05</c:v>
                </c:pt>
                <c:pt idx="5">
                  <c:v>Q_06</c:v>
                </c:pt>
                <c:pt idx="6">
                  <c:v>Q_07</c:v>
                </c:pt>
                <c:pt idx="7">
                  <c:v>Q_08</c:v>
                </c:pt>
                <c:pt idx="8">
                  <c:v>Q_09</c:v>
                </c:pt>
                <c:pt idx="9">
                  <c:v>Q_10</c:v>
                </c:pt>
                <c:pt idx="10">
                  <c:v>Q_11</c:v>
                </c:pt>
                <c:pt idx="11">
                  <c:v>Q_12</c:v>
                </c:pt>
                <c:pt idx="12">
                  <c:v>Q_13</c:v>
                </c:pt>
                <c:pt idx="13">
                  <c:v>Q_14</c:v>
                </c:pt>
                <c:pt idx="14">
                  <c:v>Q_15</c:v>
                </c:pt>
                <c:pt idx="15">
                  <c:v>Q_16</c:v>
                </c:pt>
                <c:pt idx="16">
                  <c:v>Q_17</c:v>
                </c:pt>
                <c:pt idx="17">
                  <c:v>Q_18</c:v>
                </c:pt>
                <c:pt idx="18">
                  <c:v>Q_19</c:v>
                </c:pt>
                <c:pt idx="19">
                  <c:v>Q_20</c:v>
                </c:pt>
                <c:pt idx="20">
                  <c:v>Q_21</c:v>
                </c:pt>
                <c:pt idx="21">
                  <c:v>Q_22</c:v>
                </c:pt>
                <c:pt idx="22">
                  <c:v>Q_23</c:v>
                </c:pt>
                <c:pt idx="23">
                  <c:v>Q_24</c:v>
                </c:pt>
                <c:pt idx="24">
                  <c:v>Q_25</c:v>
                </c:pt>
                <c:pt idx="25">
                  <c:v>Q_26</c:v>
                </c:pt>
              </c:strCache>
            </c:strRef>
          </c:cat>
          <c:val>
            <c:numRef>
              <c:f>Graph!$F$7:$F$32</c:f>
              <c:numCache>
                <c:formatCode>General</c:formatCode>
                <c:ptCount val="26"/>
                <c:pt idx="0">
                  <c:v>3.5249999999999999</c:v>
                </c:pt>
                <c:pt idx="1">
                  <c:v>4.0500000000000007</c:v>
                </c:pt>
                <c:pt idx="2">
                  <c:v>4.1749999999999998</c:v>
                </c:pt>
                <c:pt idx="3">
                  <c:v>4.2249999999999996</c:v>
                </c:pt>
                <c:pt idx="4">
                  <c:v>3.25</c:v>
                </c:pt>
                <c:pt idx="5">
                  <c:v>3.9249999999999998</c:v>
                </c:pt>
                <c:pt idx="6">
                  <c:v>3.8499999999999996</c:v>
                </c:pt>
                <c:pt idx="7">
                  <c:v>3.9749999999999996</c:v>
                </c:pt>
                <c:pt idx="8">
                  <c:v>3.7249999999999996</c:v>
                </c:pt>
                <c:pt idx="9">
                  <c:v>4.2750000000000004</c:v>
                </c:pt>
                <c:pt idx="10">
                  <c:v>4.3</c:v>
                </c:pt>
                <c:pt idx="11">
                  <c:v>4.2</c:v>
                </c:pt>
                <c:pt idx="12">
                  <c:v>3.9750000000000001</c:v>
                </c:pt>
                <c:pt idx="13">
                  <c:v>3.6999999999999997</c:v>
                </c:pt>
                <c:pt idx="14">
                  <c:v>3.9000000000000004</c:v>
                </c:pt>
                <c:pt idx="15">
                  <c:v>3.625</c:v>
                </c:pt>
                <c:pt idx="16">
                  <c:v>3.75</c:v>
                </c:pt>
                <c:pt idx="17">
                  <c:v>4.0750000000000002</c:v>
                </c:pt>
                <c:pt idx="18">
                  <c:v>3.5999999999999996</c:v>
                </c:pt>
                <c:pt idx="19">
                  <c:v>3.7</c:v>
                </c:pt>
                <c:pt idx="20">
                  <c:v>3.7250000000000001</c:v>
                </c:pt>
                <c:pt idx="21">
                  <c:v>3.7</c:v>
                </c:pt>
                <c:pt idx="22">
                  <c:v>4.1750000000000007</c:v>
                </c:pt>
                <c:pt idx="23">
                  <c:v>4.125</c:v>
                </c:pt>
                <c:pt idx="24">
                  <c:v>3.9249999999999998</c:v>
                </c:pt>
                <c:pt idx="25">
                  <c:v>3.8980000000000001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E4C-4709-918E-8AF0AF0F9013}"/>
            </c:ext>
          </c:extLst>
        </c:ser>
        <c:ser>
          <c:idx val="1"/>
          <c:order val="1"/>
          <c:tx>
            <c:strRef>
              <c:f>Graph!$G$6</c:f>
              <c:strCache>
                <c:ptCount val="1"/>
                <c:pt idx="0">
                  <c:v>1 año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Graph!$E$7:$E$32</c:f>
              <c:strCache>
                <c:ptCount val="26"/>
                <c:pt idx="0">
                  <c:v>Q_01</c:v>
                </c:pt>
                <c:pt idx="1">
                  <c:v>Q_02</c:v>
                </c:pt>
                <c:pt idx="2">
                  <c:v>Q_03</c:v>
                </c:pt>
                <c:pt idx="3">
                  <c:v>Q_04</c:v>
                </c:pt>
                <c:pt idx="4">
                  <c:v>Q_05</c:v>
                </c:pt>
                <c:pt idx="5">
                  <c:v>Q_06</c:v>
                </c:pt>
                <c:pt idx="6">
                  <c:v>Q_07</c:v>
                </c:pt>
                <c:pt idx="7">
                  <c:v>Q_08</c:v>
                </c:pt>
                <c:pt idx="8">
                  <c:v>Q_09</c:v>
                </c:pt>
                <c:pt idx="9">
                  <c:v>Q_10</c:v>
                </c:pt>
                <c:pt idx="10">
                  <c:v>Q_11</c:v>
                </c:pt>
                <c:pt idx="11">
                  <c:v>Q_12</c:v>
                </c:pt>
                <c:pt idx="12">
                  <c:v>Q_13</c:v>
                </c:pt>
                <c:pt idx="13">
                  <c:v>Q_14</c:v>
                </c:pt>
                <c:pt idx="14">
                  <c:v>Q_15</c:v>
                </c:pt>
                <c:pt idx="15">
                  <c:v>Q_16</c:v>
                </c:pt>
                <c:pt idx="16">
                  <c:v>Q_17</c:v>
                </c:pt>
                <c:pt idx="17">
                  <c:v>Q_18</c:v>
                </c:pt>
                <c:pt idx="18">
                  <c:v>Q_19</c:v>
                </c:pt>
                <c:pt idx="19">
                  <c:v>Q_20</c:v>
                </c:pt>
                <c:pt idx="20">
                  <c:v>Q_21</c:v>
                </c:pt>
                <c:pt idx="21">
                  <c:v>Q_22</c:v>
                </c:pt>
                <c:pt idx="22">
                  <c:v>Q_23</c:v>
                </c:pt>
                <c:pt idx="23">
                  <c:v>Q_24</c:v>
                </c:pt>
                <c:pt idx="24">
                  <c:v>Q_25</c:v>
                </c:pt>
                <c:pt idx="25">
                  <c:v>Q_26</c:v>
                </c:pt>
              </c:strCache>
            </c:strRef>
          </c:cat>
          <c:val>
            <c:numRef>
              <c:f>Graph!$G$7:$G$32</c:f>
              <c:numCache>
                <c:formatCode>General</c:formatCode>
                <c:ptCount val="26"/>
                <c:pt idx="0">
                  <c:v>3.875</c:v>
                </c:pt>
                <c:pt idx="1">
                  <c:v>3.8125</c:v>
                </c:pt>
                <c:pt idx="2">
                  <c:v>4.125</c:v>
                </c:pt>
                <c:pt idx="3">
                  <c:v>4.125</c:v>
                </c:pt>
                <c:pt idx="4">
                  <c:v>3.0625</c:v>
                </c:pt>
                <c:pt idx="5">
                  <c:v>3.75</c:v>
                </c:pt>
                <c:pt idx="6">
                  <c:v>3.5</c:v>
                </c:pt>
                <c:pt idx="7">
                  <c:v>3.75</c:v>
                </c:pt>
                <c:pt idx="8">
                  <c:v>3.75</c:v>
                </c:pt>
                <c:pt idx="9">
                  <c:v>4.25</c:v>
                </c:pt>
                <c:pt idx="10">
                  <c:v>4</c:v>
                </c:pt>
                <c:pt idx="11">
                  <c:v>4.0625</c:v>
                </c:pt>
                <c:pt idx="12">
                  <c:v>3.8125</c:v>
                </c:pt>
                <c:pt idx="13">
                  <c:v>3.625</c:v>
                </c:pt>
                <c:pt idx="14">
                  <c:v>3.375</c:v>
                </c:pt>
                <c:pt idx="15">
                  <c:v>3.625</c:v>
                </c:pt>
                <c:pt idx="16">
                  <c:v>3.1875</c:v>
                </c:pt>
                <c:pt idx="17">
                  <c:v>4.125</c:v>
                </c:pt>
                <c:pt idx="18">
                  <c:v>3.75</c:v>
                </c:pt>
                <c:pt idx="19">
                  <c:v>4</c:v>
                </c:pt>
                <c:pt idx="20">
                  <c:v>3.875</c:v>
                </c:pt>
                <c:pt idx="21">
                  <c:v>3.875</c:v>
                </c:pt>
                <c:pt idx="22">
                  <c:v>4.1875</c:v>
                </c:pt>
                <c:pt idx="23">
                  <c:v>3.875</c:v>
                </c:pt>
                <c:pt idx="24">
                  <c:v>3.625</c:v>
                </c:pt>
                <c:pt idx="25">
                  <c:v>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E4C-4709-918E-8AF0AF0F9013}"/>
            </c:ext>
          </c:extLst>
        </c:ser>
        <c:ser>
          <c:idx val="2"/>
          <c:order val="2"/>
          <c:tx>
            <c:strRef>
              <c:f>Graph!$H$6</c:f>
              <c:strCache>
                <c:ptCount val="1"/>
                <c:pt idx="0">
                  <c:v>1 a 3 años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Graph!$E$7:$E$32</c:f>
              <c:strCache>
                <c:ptCount val="26"/>
                <c:pt idx="0">
                  <c:v>Q_01</c:v>
                </c:pt>
                <c:pt idx="1">
                  <c:v>Q_02</c:v>
                </c:pt>
                <c:pt idx="2">
                  <c:v>Q_03</c:v>
                </c:pt>
                <c:pt idx="3">
                  <c:v>Q_04</c:v>
                </c:pt>
                <c:pt idx="4">
                  <c:v>Q_05</c:v>
                </c:pt>
                <c:pt idx="5">
                  <c:v>Q_06</c:v>
                </c:pt>
                <c:pt idx="6">
                  <c:v>Q_07</c:v>
                </c:pt>
                <c:pt idx="7">
                  <c:v>Q_08</c:v>
                </c:pt>
                <c:pt idx="8">
                  <c:v>Q_09</c:v>
                </c:pt>
                <c:pt idx="9">
                  <c:v>Q_10</c:v>
                </c:pt>
                <c:pt idx="10">
                  <c:v>Q_11</c:v>
                </c:pt>
                <c:pt idx="11">
                  <c:v>Q_12</c:v>
                </c:pt>
                <c:pt idx="12">
                  <c:v>Q_13</c:v>
                </c:pt>
                <c:pt idx="13">
                  <c:v>Q_14</c:v>
                </c:pt>
                <c:pt idx="14">
                  <c:v>Q_15</c:v>
                </c:pt>
                <c:pt idx="15">
                  <c:v>Q_16</c:v>
                </c:pt>
                <c:pt idx="16">
                  <c:v>Q_17</c:v>
                </c:pt>
                <c:pt idx="17">
                  <c:v>Q_18</c:v>
                </c:pt>
                <c:pt idx="18">
                  <c:v>Q_19</c:v>
                </c:pt>
                <c:pt idx="19">
                  <c:v>Q_20</c:v>
                </c:pt>
                <c:pt idx="20">
                  <c:v>Q_21</c:v>
                </c:pt>
                <c:pt idx="21">
                  <c:v>Q_22</c:v>
                </c:pt>
                <c:pt idx="22">
                  <c:v>Q_23</c:v>
                </c:pt>
                <c:pt idx="23">
                  <c:v>Q_24</c:v>
                </c:pt>
                <c:pt idx="24">
                  <c:v>Q_25</c:v>
                </c:pt>
                <c:pt idx="25">
                  <c:v>Q_26</c:v>
                </c:pt>
              </c:strCache>
            </c:strRef>
          </c:cat>
          <c:val>
            <c:numRef>
              <c:f>Graph!$H$7:$H$32</c:f>
              <c:numCache>
                <c:formatCode>General</c:formatCode>
                <c:ptCount val="26"/>
                <c:pt idx="0">
                  <c:v>3.085</c:v>
                </c:pt>
                <c:pt idx="1">
                  <c:v>4</c:v>
                </c:pt>
                <c:pt idx="2">
                  <c:v>3.75</c:v>
                </c:pt>
                <c:pt idx="3">
                  <c:v>3.9175</c:v>
                </c:pt>
                <c:pt idx="4">
                  <c:v>2.75</c:v>
                </c:pt>
                <c:pt idx="5">
                  <c:v>3.7524999999999999</c:v>
                </c:pt>
                <c:pt idx="6">
                  <c:v>3.9175</c:v>
                </c:pt>
                <c:pt idx="7">
                  <c:v>4</c:v>
                </c:pt>
                <c:pt idx="8">
                  <c:v>3.0825</c:v>
                </c:pt>
                <c:pt idx="9">
                  <c:v>4</c:v>
                </c:pt>
                <c:pt idx="10">
                  <c:v>4.3324999999999996</c:v>
                </c:pt>
                <c:pt idx="11">
                  <c:v>3.9175</c:v>
                </c:pt>
                <c:pt idx="12">
                  <c:v>4</c:v>
                </c:pt>
                <c:pt idx="13">
                  <c:v>2.835</c:v>
                </c:pt>
                <c:pt idx="14">
                  <c:v>4.0824999999999996</c:v>
                </c:pt>
                <c:pt idx="15">
                  <c:v>3.0825</c:v>
                </c:pt>
                <c:pt idx="16">
                  <c:v>3.6675</c:v>
                </c:pt>
                <c:pt idx="17">
                  <c:v>3.9175</c:v>
                </c:pt>
                <c:pt idx="18">
                  <c:v>2.5</c:v>
                </c:pt>
                <c:pt idx="19">
                  <c:v>2.5</c:v>
                </c:pt>
                <c:pt idx="20">
                  <c:v>3.5825</c:v>
                </c:pt>
                <c:pt idx="21">
                  <c:v>3.1675</c:v>
                </c:pt>
                <c:pt idx="22">
                  <c:v>3.75</c:v>
                </c:pt>
                <c:pt idx="23">
                  <c:v>4</c:v>
                </c:pt>
                <c:pt idx="24">
                  <c:v>3.585</c:v>
                </c:pt>
                <c:pt idx="25">
                  <c:v>3.5669999999999997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E4C-4709-918E-8AF0AF0F9013}"/>
            </c:ext>
          </c:extLst>
        </c:ser>
        <c:ser>
          <c:idx val="3"/>
          <c:order val="3"/>
          <c:tx>
            <c:strRef>
              <c:f>Graph!$I$6</c:f>
              <c:strCache>
                <c:ptCount val="1"/>
                <c:pt idx="0">
                  <c:v>3 a 7 años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Graph!$E$7:$E$32</c:f>
              <c:strCache>
                <c:ptCount val="26"/>
                <c:pt idx="0">
                  <c:v>Q_01</c:v>
                </c:pt>
                <c:pt idx="1">
                  <c:v>Q_02</c:v>
                </c:pt>
                <c:pt idx="2">
                  <c:v>Q_03</c:v>
                </c:pt>
                <c:pt idx="3">
                  <c:v>Q_04</c:v>
                </c:pt>
                <c:pt idx="4">
                  <c:v>Q_05</c:v>
                </c:pt>
                <c:pt idx="5">
                  <c:v>Q_06</c:v>
                </c:pt>
                <c:pt idx="6">
                  <c:v>Q_07</c:v>
                </c:pt>
                <c:pt idx="7">
                  <c:v>Q_08</c:v>
                </c:pt>
                <c:pt idx="8">
                  <c:v>Q_09</c:v>
                </c:pt>
                <c:pt idx="9">
                  <c:v>Q_10</c:v>
                </c:pt>
                <c:pt idx="10">
                  <c:v>Q_11</c:v>
                </c:pt>
                <c:pt idx="11">
                  <c:v>Q_12</c:v>
                </c:pt>
                <c:pt idx="12">
                  <c:v>Q_13</c:v>
                </c:pt>
                <c:pt idx="13">
                  <c:v>Q_14</c:v>
                </c:pt>
                <c:pt idx="14">
                  <c:v>Q_15</c:v>
                </c:pt>
                <c:pt idx="15">
                  <c:v>Q_16</c:v>
                </c:pt>
                <c:pt idx="16">
                  <c:v>Q_17</c:v>
                </c:pt>
                <c:pt idx="17">
                  <c:v>Q_18</c:v>
                </c:pt>
                <c:pt idx="18">
                  <c:v>Q_19</c:v>
                </c:pt>
                <c:pt idx="19">
                  <c:v>Q_20</c:v>
                </c:pt>
                <c:pt idx="20">
                  <c:v>Q_21</c:v>
                </c:pt>
                <c:pt idx="21">
                  <c:v>Q_22</c:v>
                </c:pt>
                <c:pt idx="22">
                  <c:v>Q_23</c:v>
                </c:pt>
                <c:pt idx="23">
                  <c:v>Q_24</c:v>
                </c:pt>
                <c:pt idx="24">
                  <c:v>Q_25</c:v>
                </c:pt>
                <c:pt idx="25">
                  <c:v>Q_26</c:v>
                </c:pt>
              </c:strCache>
            </c:strRef>
          </c:cat>
          <c:val>
            <c:numRef>
              <c:f>Graph!$I$7:$I$32</c:f>
              <c:numCache>
                <c:formatCode>General</c:formatCode>
                <c:ptCount val="26"/>
                <c:pt idx="0">
                  <c:v>3.5024999999999999</c:v>
                </c:pt>
                <c:pt idx="1">
                  <c:v>4.4175000000000004</c:v>
                </c:pt>
                <c:pt idx="2">
                  <c:v>4.67</c:v>
                </c:pt>
                <c:pt idx="3">
                  <c:v>4.67</c:v>
                </c:pt>
                <c:pt idx="4">
                  <c:v>4.0024999999999995</c:v>
                </c:pt>
                <c:pt idx="5">
                  <c:v>4.3324999999999996</c:v>
                </c:pt>
                <c:pt idx="6">
                  <c:v>4.2524999999999995</c:v>
                </c:pt>
                <c:pt idx="7">
                  <c:v>4.25</c:v>
                </c:pt>
                <c:pt idx="8">
                  <c:v>4.3324999999999996</c:v>
                </c:pt>
                <c:pt idx="9">
                  <c:v>4.585</c:v>
                </c:pt>
                <c:pt idx="10">
                  <c:v>4.67</c:v>
                </c:pt>
                <c:pt idx="11">
                  <c:v>4.67</c:v>
                </c:pt>
                <c:pt idx="12">
                  <c:v>4.165</c:v>
                </c:pt>
                <c:pt idx="13">
                  <c:v>4.67</c:v>
                </c:pt>
                <c:pt idx="14">
                  <c:v>4.415</c:v>
                </c:pt>
                <c:pt idx="15">
                  <c:v>4.17</c:v>
                </c:pt>
                <c:pt idx="16">
                  <c:v>4.585</c:v>
                </c:pt>
                <c:pt idx="17">
                  <c:v>4.1675000000000004</c:v>
                </c:pt>
                <c:pt idx="18">
                  <c:v>4.5024999999999995</c:v>
                </c:pt>
                <c:pt idx="19">
                  <c:v>4.5</c:v>
                </c:pt>
                <c:pt idx="20">
                  <c:v>3.6675</c:v>
                </c:pt>
                <c:pt idx="21">
                  <c:v>4</c:v>
                </c:pt>
                <c:pt idx="22">
                  <c:v>4.585</c:v>
                </c:pt>
                <c:pt idx="23">
                  <c:v>4.585</c:v>
                </c:pt>
                <c:pt idx="24">
                  <c:v>4.67</c:v>
                </c:pt>
                <c:pt idx="25">
                  <c:v>4.3614999999999995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E4C-4709-918E-8AF0AF0F9013}"/>
            </c:ext>
          </c:extLst>
        </c:ser>
        <c:ser>
          <c:idx val="4"/>
          <c:order val="4"/>
          <c:tx>
            <c:v>Maximo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Pt>
            <c:idx val="10"/>
            <c:marker>
              <c:symbol val="circle"/>
              <c:size val="5"/>
              <c:spPr>
                <a:solidFill>
                  <a:schemeClr val="tx1"/>
                </a:solidFill>
                <a:ln w="76200">
                  <a:solidFill>
                    <a:schemeClr val="accent1"/>
                  </a:solidFill>
                </a:ln>
                <a:effectLst/>
              </c:spPr>
            </c:marker>
            <c:bubble3D val="0"/>
            <c:spPr>
              <a:ln w="76200" cap="rnd">
                <a:solidFill>
                  <a:schemeClr val="accent1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5E4C-4709-918E-8AF0AF0F9013}"/>
              </c:ext>
            </c:extLst>
          </c:dPt>
          <c:val>
            <c:numRef>
              <c:f>Graph!$J$7:$J$32</c:f>
              <c:numCache>
                <c:formatCode>General</c:formatCode>
                <c:ptCount val="2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#N/A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4.3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E4C-4709-918E-8AF0AF0F9013}"/>
            </c:ext>
          </c:extLst>
        </c:ser>
        <c:ser>
          <c:idx val="5"/>
          <c:order val="5"/>
          <c:tx>
            <c:v>Minimo</c:v>
          </c:tx>
          <c:spPr>
            <a:ln w="762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76200">
                <a:solidFill>
                  <a:schemeClr val="accent1"/>
                </a:solidFill>
              </a:ln>
              <a:effectLst/>
            </c:spPr>
          </c:marker>
          <c:val>
            <c:numRef>
              <c:f>Graph!$K$7:$K$32</c:f>
              <c:numCache>
                <c:formatCode>General</c:formatCode>
                <c:ptCount val="26"/>
                <c:pt idx="0">
                  <c:v>#N/A</c:v>
                </c:pt>
                <c:pt idx="1">
                  <c:v>#N/A</c:v>
                </c:pt>
                <c:pt idx="2">
                  <c:v>#N/A</c:v>
                </c:pt>
                <c:pt idx="3">
                  <c:v>#N/A</c:v>
                </c:pt>
                <c:pt idx="4">
                  <c:v>3.25</c:v>
                </c:pt>
                <c:pt idx="5">
                  <c:v>#N/A</c:v>
                </c:pt>
                <c:pt idx="6">
                  <c:v>#N/A</c:v>
                </c:pt>
                <c:pt idx="7">
                  <c:v>#N/A</c:v>
                </c:pt>
                <c:pt idx="8">
                  <c:v>#N/A</c:v>
                </c:pt>
                <c:pt idx="9">
                  <c:v>#N/A</c:v>
                </c:pt>
                <c:pt idx="10">
                  <c:v>#N/A</c:v>
                </c:pt>
                <c:pt idx="11">
                  <c:v>#N/A</c:v>
                </c:pt>
                <c:pt idx="12">
                  <c:v>#N/A</c:v>
                </c:pt>
                <c:pt idx="13">
                  <c:v>#N/A</c:v>
                </c:pt>
                <c:pt idx="14">
                  <c:v>#N/A</c:v>
                </c:pt>
                <c:pt idx="15">
                  <c:v>#N/A</c:v>
                </c:pt>
                <c:pt idx="16">
                  <c:v>#N/A</c:v>
                </c:pt>
                <c:pt idx="17">
                  <c:v>#N/A</c:v>
                </c:pt>
                <c:pt idx="18">
                  <c:v>#N/A</c:v>
                </c:pt>
                <c:pt idx="19">
                  <c:v>#N/A</c:v>
                </c:pt>
                <c:pt idx="20">
                  <c:v>#N/A</c:v>
                </c:pt>
                <c:pt idx="21">
                  <c:v>#N/A</c:v>
                </c:pt>
                <c:pt idx="22">
                  <c:v>#N/A</c:v>
                </c:pt>
                <c:pt idx="23">
                  <c:v>#N/A</c:v>
                </c:pt>
                <c:pt idx="24">
                  <c:v>#N/A</c:v>
                </c:pt>
                <c:pt idx="25">
                  <c:v>#N/A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E4C-4709-918E-8AF0AF0F90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35756568"/>
        <c:axId val="1835757288"/>
      </c:lineChart>
      <c:catAx>
        <c:axId val="1835756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5757288"/>
        <c:crosses val="autoZero"/>
        <c:auto val="1"/>
        <c:lblAlgn val="ctr"/>
        <c:lblOffset val="100"/>
        <c:noMultiLvlLbl val="0"/>
      </c:catAx>
      <c:valAx>
        <c:axId val="1835757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5756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4"/>
        <c:delete val="1"/>
      </c:legendEntry>
      <c:legendEntry>
        <c:idx val="5"/>
        <c:delete val="1"/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Perfil</a:t>
            </a:r>
            <a:r>
              <a:rPr lang="es-ES" baseline="0"/>
              <a:t> del docente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35C-40F7-A624-AAFB053A77F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535C-40F7-A624-AAFB053A77F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35C-40F7-A624-AAFB053A77FE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3372707592818818E-2"/>
                      <c:h val="4.103640642705639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535C-40F7-A624-AAFB053A77FE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3372707592818818E-2"/>
                      <c:h val="4.103640642705639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535C-40F7-A624-AAFB053A77FE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2.3372707592818818E-2"/>
                      <c:h val="4.1036406427056395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535C-40F7-A624-AAFB053A77F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no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E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Graph!$F$40:$H$40</c:f>
              <c:strCache>
                <c:ptCount val="3"/>
                <c:pt idx="0">
                  <c:v>1 año</c:v>
                </c:pt>
                <c:pt idx="1">
                  <c:v>1 a 3 años</c:v>
                </c:pt>
                <c:pt idx="2">
                  <c:v>3 a 7 años</c:v>
                </c:pt>
              </c:strCache>
            </c:strRef>
          </c:cat>
          <c:val>
            <c:numRef>
              <c:f>Graph!$F$41:$H$41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5C-40F7-A624-AAFB053A77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Frecuencia de uso de la 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Graph!$G$48</c:f>
              <c:strCache>
                <c:ptCount val="1"/>
                <c:pt idx="0">
                  <c:v>Docentes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Graph!$F$49:$F$53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Graph!$G$49:$G$53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3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C31-4033-A55C-5253D5693DF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32077656"/>
        <c:axId val="832075856"/>
      </c:barChart>
      <c:catAx>
        <c:axId val="8320776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32075856"/>
        <c:crosses val="autoZero"/>
        <c:auto val="1"/>
        <c:lblAlgn val="ctr"/>
        <c:lblOffset val="100"/>
        <c:noMultiLvlLbl val="0"/>
      </c:catAx>
      <c:valAx>
        <c:axId val="83207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320776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Actitud hacia</a:t>
            </a:r>
            <a:r>
              <a:rPr lang="es-ES" baseline="0"/>
              <a:t> el uso de la IA en la educación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Graph!$G$59</c:f>
              <c:strCache>
                <c:ptCount val="1"/>
                <c:pt idx="0">
                  <c:v>Docentes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Graph!$F$60:$F$64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Graph!$G$60:$G$64</c:f>
              <c:numCache>
                <c:formatCode>General</c:formatCode>
                <c:ptCount val="5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4</c:v>
                </c:pt>
                <c:pt idx="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53-4570-801E-B2E731A5E6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312040"/>
        <c:axId val="874301600"/>
      </c:barChart>
      <c:catAx>
        <c:axId val="874312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74301600"/>
        <c:crosses val="autoZero"/>
        <c:auto val="1"/>
        <c:lblAlgn val="ctr"/>
        <c:lblOffset val="100"/>
        <c:noMultiLvlLbl val="0"/>
      </c:catAx>
      <c:valAx>
        <c:axId val="8743016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74312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Puede sustituir</a:t>
            </a:r>
            <a:r>
              <a:rPr lang="es-ES" baseline="0"/>
              <a:t> la IA a la creación manual de ítems</a:t>
            </a:r>
            <a:endParaRPr lang="es-E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pieChart>
        <c:varyColors val="1"/>
        <c:ser>
          <c:idx val="0"/>
          <c:order val="0"/>
          <c:spPr>
            <a:solidFill>
              <a:srgbClr val="FFC000"/>
            </a:solidFill>
            <a:ln w="3175">
              <a:solidFill>
                <a:srgbClr val="FFC000"/>
              </a:solidFill>
              <a:prstDash val="sysDash"/>
            </a:ln>
          </c:spPr>
          <c:dPt>
            <c:idx val="0"/>
            <c:bubble3D val="0"/>
            <c:spPr>
              <a:solidFill>
                <a:srgbClr val="00B050"/>
              </a:solidFill>
              <a:ln w="3175">
                <a:solidFill>
                  <a:srgbClr val="FFC000"/>
                </a:solidFill>
                <a:prstDash val="sys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2-BFD5-4277-8CE5-8E8DE90C1436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3175">
                <a:solidFill>
                  <a:srgbClr val="FFC000"/>
                </a:solidFill>
                <a:prstDash val="sysDash"/>
              </a:ln>
              <a:effectLst/>
            </c:spPr>
            <c:extLst>
              <c:ext xmlns:c16="http://schemas.microsoft.com/office/drawing/2014/chart" uri="{C3380CC4-5D6E-409C-BE32-E72D297353CC}">
                <c16:uniqueId val="{00000001-BFD5-4277-8CE5-8E8DE90C1436}"/>
              </c:ext>
            </c:extLst>
          </c:dPt>
          <c:dPt>
            <c:idx val="2"/>
            <c:bubble3D val="0"/>
            <c:spPr>
              <a:solidFill>
                <a:srgbClr val="FFC000"/>
              </a:solidFill>
              <a:ln w="3175">
                <a:solidFill>
                  <a:srgbClr val="FFC000"/>
                </a:solidFill>
                <a:prstDash val="sysDash"/>
              </a:ln>
              <a:effectLst/>
            </c:spPr>
          </c:dPt>
          <c:cat>
            <c:strRef>
              <c:f>Graph!$F$73:$F$75</c:f>
              <c:strCache>
                <c:ptCount val="3"/>
                <c:pt idx="0">
                  <c:v>Si</c:v>
                </c:pt>
                <c:pt idx="1">
                  <c:v>No</c:v>
                </c:pt>
                <c:pt idx="2">
                  <c:v>Con supervisión</c:v>
                </c:pt>
              </c:strCache>
            </c:strRef>
          </c:cat>
          <c:val>
            <c:numRef>
              <c:f>Graph!$G$73:$G$75</c:f>
              <c:numCache>
                <c:formatCode>General</c:formatCode>
                <c:ptCount val="3"/>
                <c:pt idx="0">
                  <c:v>#N/A</c:v>
                </c:pt>
                <c:pt idx="1">
                  <c:v>#N/A</c:v>
                </c:pt>
                <c:pt idx="2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D5-4277-8CE5-8E8DE90C14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Calidad por modelo de 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radarChart>
        <c:radarStyle val="marker"/>
        <c:varyColors val="0"/>
        <c:ser>
          <c:idx val="0"/>
          <c:order val="0"/>
          <c:tx>
            <c:strRef>
              <c:f>Graph!$F$97</c:f>
              <c:strCache>
                <c:ptCount val="1"/>
                <c:pt idx="0">
                  <c:v>ChatGPT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Graph!$G$96:$K$96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Graph!$G$97:$K$97</c:f>
              <c:numCache>
                <c:formatCode>General</c:formatCode>
                <c:ptCount val="5"/>
                <c:pt idx="0">
                  <c:v>4.1599999999999993</c:v>
                </c:pt>
                <c:pt idx="1">
                  <c:v>3.7600000000000002</c:v>
                </c:pt>
                <c:pt idx="2">
                  <c:v>3.9</c:v>
                </c:pt>
                <c:pt idx="3">
                  <c:v>3.9800000000000004</c:v>
                </c:pt>
                <c:pt idx="4">
                  <c:v>3.95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7-498A-A29F-406E43366CC7}"/>
            </c:ext>
          </c:extLst>
        </c:ser>
        <c:ser>
          <c:idx val="1"/>
          <c:order val="1"/>
          <c:tx>
            <c:strRef>
              <c:f>Graph!$F$98</c:f>
              <c:strCache>
                <c:ptCount val="1"/>
                <c:pt idx="0">
                  <c:v>Claude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Graph!$G$96:$K$96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Graph!$G$98:$K$98</c:f>
              <c:numCache>
                <c:formatCode>General</c:formatCode>
                <c:ptCount val="5"/>
                <c:pt idx="0">
                  <c:v>4.1800000000000006</c:v>
                </c:pt>
                <c:pt idx="1">
                  <c:v>3.7800000000000002</c:v>
                </c:pt>
                <c:pt idx="2">
                  <c:v>4.0999999999999996</c:v>
                </c:pt>
                <c:pt idx="3">
                  <c:v>4.0999999999999996</c:v>
                </c:pt>
                <c:pt idx="4">
                  <c:v>4.04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F27-498A-A29F-406E43366CC7}"/>
            </c:ext>
          </c:extLst>
        </c:ser>
        <c:ser>
          <c:idx val="2"/>
          <c:order val="2"/>
          <c:tx>
            <c:strRef>
              <c:f>Graph!$F$99</c:f>
              <c:strCache>
                <c:ptCount val="1"/>
                <c:pt idx="0">
                  <c:v>Gemini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Graph!$G$96:$K$96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Graph!$G$99:$K$99</c:f>
              <c:numCache>
                <c:formatCode>General</c:formatCode>
                <c:ptCount val="5"/>
                <c:pt idx="0">
                  <c:v>3.9200000000000004</c:v>
                </c:pt>
                <c:pt idx="1">
                  <c:v>3.6399999999999997</c:v>
                </c:pt>
                <c:pt idx="2">
                  <c:v>3.8199999999999994</c:v>
                </c:pt>
                <c:pt idx="3">
                  <c:v>3.84</c:v>
                </c:pt>
                <c:pt idx="4">
                  <c:v>3.8049999999999997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F27-498A-A29F-406E43366CC7}"/>
            </c:ext>
          </c:extLst>
        </c:ser>
        <c:ser>
          <c:idx val="3"/>
          <c:order val="3"/>
          <c:tx>
            <c:strRef>
              <c:f>Graph!$F$100</c:f>
              <c:strCache>
                <c:ptCount val="1"/>
                <c:pt idx="0">
                  <c:v>Mistral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Graph!$G$96:$K$96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Graph!$G$100:$K$100</c:f>
              <c:numCache>
                <c:formatCode>General</c:formatCode>
                <c:ptCount val="5"/>
                <c:pt idx="0">
                  <c:v>4.0999999999999996</c:v>
                </c:pt>
                <c:pt idx="1">
                  <c:v>3.8</c:v>
                </c:pt>
                <c:pt idx="2">
                  <c:v>3.8199999999999994</c:v>
                </c:pt>
                <c:pt idx="3">
                  <c:v>3.96</c:v>
                </c:pt>
                <c:pt idx="4">
                  <c:v>3.9199999999999995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F27-498A-A29F-406E43366CC7}"/>
            </c:ext>
          </c:extLst>
        </c:ser>
        <c:ser>
          <c:idx val="4"/>
          <c:order val="4"/>
          <c:tx>
            <c:strRef>
              <c:f>Graph!$F$101</c:f>
              <c:strCache>
                <c:ptCount val="1"/>
                <c:pt idx="0">
                  <c:v>Qwen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strRef>
              <c:f>Graph!$G$96:$K$96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Graph!$G$101:$K$101</c:f>
              <c:numCache>
                <c:formatCode>General</c:formatCode>
                <c:ptCount val="5"/>
                <c:pt idx="0">
                  <c:v>3.9800000000000004</c:v>
                </c:pt>
                <c:pt idx="1">
                  <c:v>3.5799999999999996</c:v>
                </c:pt>
                <c:pt idx="2">
                  <c:v>3.6</c:v>
                </c:pt>
                <c:pt idx="3">
                  <c:v>3.94</c:v>
                </c:pt>
                <c:pt idx="4">
                  <c:v>3.7749999999999999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F27-498A-A29F-406E43366C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36766368"/>
        <c:axId val="1836774648"/>
      </c:radarChart>
      <c:catAx>
        <c:axId val="1836766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6774648"/>
        <c:crosses val="autoZero"/>
        <c:auto val="1"/>
        <c:lblAlgn val="ctr"/>
        <c:lblOffset val="100"/>
        <c:noMultiLvlLbl val="0"/>
      </c:catAx>
      <c:valAx>
        <c:axId val="1836774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836766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General - Calidad de las preguntas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Resp!$H$31</c:f>
              <c:strCache>
                <c:ptCount val="1"/>
                <c:pt idx="0">
                  <c:v> Claridad técnica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'1Year'!$G$32:$G$56</c:f>
              <c:strCache>
                <c:ptCount val="25"/>
                <c:pt idx="0">
                  <c:v>Q_01</c:v>
                </c:pt>
                <c:pt idx="1">
                  <c:v>Q_02</c:v>
                </c:pt>
                <c:pt idx="2">
                  <c:v>Q_03</c:v>
                </c:pt>
                <c:pt idx="3">
                  <c:v>Q_04</c:v>
                </c:pt>
                <c:pt idx="4">
                  <c:v>Q_05</c:v>
                </c:pt>
                <c:pt idx="5">
                  <c:v>Q_06</c:v>
                </c:pt>
                <c:pt idx="6">
                  <c:v>Q_07</c:v>
                </c:pt>
                <c:pt idx="7">
                  <c:v>Q_08</c:v>
                </c:pt>
                <c:pt idx="8">
                  <c:v>Q_09</c:v>
                </c:pt>
                <c:pt idx="9">
                  <c:v>Q_10</c:v>
                </c:pt>
                <c:pt idx="10">
                  <c:v>Q_11</c:v>
                </c:pt>
                <c:pt idx="11">
                  <c:v>Q_12</c:v>
                </c:pt>
                <c:pt idx="12">
                  <c:v>Q_13</c:v>
                </c:pt>
                <c:pt idx="13">
                  <c:v>Q_14</c:v>
                </c:pt>
                <c:pt idx="14">
                  <c:v>Q_15</c:v>
                </c:pt>
                <c:pt idx="15">
                  <c:v>Q_16</c:v>
                </c:pt>
                <c:pt idx="16">
                  <c:v>Q_17</c:v>
                </c:pt>
                <c:pt idx="17">
                  <c:v>Q_18</c:v>
                </c:pt>
                <c:pt idx="18">
                  <c:v>Q_19</c:v>
                </c:pt>
                <c:pt idx="19">
                  <c:v>Q_20</c:v>
                </c:pt>
                <c:pt idx="20">
                  <c:v>Q_21</c:v>
                </c:pt>
                <c:pt idx="21">
                  <c:v>Q_22</c:v>
                </c:pt>
                <c:pt idx="22">
                  <c:v>Q_23</c:v>
                </c:pt>
                <c:pt idx="23">
                  <c:v>Q_24</c:v>
                </c:pt>
                <c:pt idx="24">
                  <c:v>Q_25</c:v>
                </c:pt>
              </c:strCache>
            </c:strRef>
          </c:cat>
          <c:val>
            <c:numRef>
              <c:f>Resp!$H$32:$H$56</c:f>
              <c:numCache>
                <c:formatCode>General</c:formatCode>
                <c:ptCount val="25"/>
                <c:pt idx="0">
                  <c:v>3.8</c:v>
                </c:pt>
                <c:pt idx="1">
                  <c:v>4.2</c:v>
                </c:pt>
                <c:pt idx="2">
                  <c:v>4.3</c:v>
                </c:pt>
                <c:pt idx="3">
                  <c:v>4.4000000000000004</c:v>
                </c:pt>
                <c:pt idx="4">
                  <c:v>3.7</c:v>
                </c:pt>
                <c:pt idx="5">
                  <c:v>4</c:v>
                </c:pt>
                <c:pt idx="6">
                  <c:v>4</c:v>
                </c:pt>
                <c:pt idx="7">
                  <c:v>4.2</c:v>
                </c:pt>
                <c:pt idx="8">
                  <c:v>4.0999999999999996</c:v>
                </c:pt>
                <c:pt idx="9">
                  <c:v>4.4000000000000004</c:v>
                </c:pt>
                <c:pt idx="10">
                  <c:v>4.4000000000000004</c:v>
                </c:pt>
                <c:pt idx="11">
                  <c:v>4.3</c:v>
                </c:pt>
                <c:pt idx="12">
                  <c:v>4.2</c:v>
                </c:pt>
                <c:pt idx="13">
                  <c:v>3.9</c:v>
                </c:pt>
                <c:pt idx="14">
                  <c:v>4</c:v>
                </c:pt>
                <c:pt idx="15">
                  <c:v>3.8</c:v>
                </c:pt>
                <c:pt idx="16">
                  <c:v>4</c:v>
                </c:pt>
                <c:pt idx="17">
                  <c:v>4.4000000000000004</c:v>
                </c:pt>
                <c:pt idx="18">
                  <c:v>3.5</c:v>
                </c:pt>
                <c:pt idx="19">
                  <c:v>3.9</c:v>
                </c:pt>
                <c:pt idx="20">
                  <c:v>3.8</c:v>
                </c:pt>
                <c:pt idx="21">
                  <c:v>3.8</c:v>
                </c:pt>
                <c:pt idx="22">
                  <c:v>4.2</c:v>
                </c:pt>
                <c:pt idx="23">
                  <c:v>4.4000000000000004</c:v>
                </c:pt>
                <c:pt idx="2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5E-4048-A107-3F053C261092}"/>
            </c:ext>
          </c:extLst>
        </c:ser>
        <c:ser>
          <c:idx val="1"/>
          <c:order val="1"/>
          <c:tx>
            <c:strRef>
              <c:f>Resp!$I$31</c:f>
              <c:strCache>
                <c:ptCount val="1"/>
                <c:pt idx="0">
                  <c:v>Nivel de dificultad adecuado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'1Year'!$G$32:$G$56</c:f>
              <c:strCache>
                <c:ptCount val="25"/>
                <c:pt idx="0">
                  <c:v>Q_01</c:v>
                </c:pt>
                <c:pt idx="1">
                  <c:v>Q_02</c:v>
                </c:pt>
                <c:pt idx="2">
                  <c:v>Q_03</c:v>
                </c:pt>
                <c:pt idx="3">
                  <c:v>Q_04</c:v>
                </c:pt>
                <c:pt idx="4">
                  <c:v>Q_05</c:v>
                </c:pt>
                <c:pt idx="5">
                  <c:v>Q_06</c:v>
                </c:pt>
                <c:pt idx="6">
                  <c:v>Q_07</c:v>
                </c:pt>
                <c:pt idx="7">
                  <c:v>Q_08</c:v>
                </c:pt>
                <c:pt idx="8">
                  <c:v>Q_09</c:v>
                </c:pt>
                <c:pt idx="9">
                  <c:v>Q_10</c:v>
                </c:pt>
                <c:pt idx="10">
                  <c:v>Q_11</c:v>
                </c:pt>
                <c:pt idx="11">
                  <c:v>Q_12</c:v>
                </c:pt>
                <c:pt idx="12">
                  <c:v>Q_13</c:v>
                </c:pt>
                <c:pt idx="13">
                  <c:v>Q_14</c:v>
                </c:pt>
                <c:pt idx="14">
                  <c:v>Q_15</c:v>
                </c:pt>
                <c:pt idx="15">
                  <c:v>Q_16</c:v>
                </c:pt>
                <c:pt idx="16">
                  <c:v>Q_17</c:v>
                </c:pt>
                <c:pt idx="17">
                  <c:v>Q_18</c:v>
                </c:pt>
                <c:pt idx="18">
                  <c:v>Q_19</c:v>
                </c:pt>
                <c:pt idx="19">
                  <c:v>Q_20</c:v>
                </c:pt>
                <c:pt idx="20">
                  <c:v>Q_21</c:v>
                </c:pt>
                <c:pt idx="21">
                  <c:v>Q_22</c:v>
                </c:pt>
                <c:pt idx="22">
                  <c:v>Q_23</c:v>
                </c:pt>
                <c:pt idx="23">
                  <c:v>Q_24</c:v>
                </c:pt>
                <c:pt idx="24">
                  <c:v>Q_25</c:v>
                </c:pt>
              </c:strCache>
            </c:strRef>
          </c:cat>
          <c:val>
            <c:numRef>
              <c:f>Resp!$I$32:$I$56</c:f>
              <c:numCache>
                <c:formatCode>General</c:formatCode>
                <c:ptCount val="25"/>
                <c:pt idx="0">
                  <c:v>3.2</c:v>
                </c:pt>
                <c:pt idx="1">
                  <c:v>4.2</c:v>
                </c:pt>
                <c:pt idx="2">
                  <c:v>4.3</c:v>
                </c:pt>
                <c:pt idx="3">
                  <c:v>4.0999999999999996</c:v>
                </c:pt>
                <c:pt idx="4">
                  <c:v>3</c:v>
                </c:pt>
                <c:pt idx="5">
                  <c:v>3.7</c:v>
                </c:pt>
                <c:pt idx="6">
                  <c:v>3.8</c:v>
                </c:pt>
                <c:pt idx="7">
                  <c:v>3.7</c:v>
                </c:pt>
                <c:pt idx="8">
                  <c:v>3.4</c:v>
                </c:pt>
                <c:pt idx="9">
                  <c:v>4</c:v>
                </c:pt>
                <c:pt idx="10">
                  <c:v>4.3</c:v>
                </c:pt>
                <c:pt idx="11">
                  <c:v>4</c:v>
                </c:pt>
                <c:pt idx="12">
                  <c:v>3.7</c:v>
                </c:pt>
                <c:pt idx="13">
                  <c:v>3.6</c:v>
                </c:pt>
                <c:pt idx="14">
                  <c:v>3.7</c:v>
                </c:pt>
                <c:pt idx="15">
                  <c:v>3.3</c:v>
                </c:pt>
                <c:pt idx="16">
                  <c:v>3.4</c:v>
                </c:pt>
                <c:pt idx="17">
                  <c:v>3.8</c:v>
                </c:pt>
                <c:pt idx="18">
                  <c:v>3.5</c:v>
                </c:pt>
                <c:pt idx="19">
                  <c:v>3.5</c:v>
                </c:pt>
                <c:pt idx="20">
                  <c:v>3.7</c:v>
                </c:pt>
                <c:pt idx="21">
                  <c:v>3.5</c:v>
                </c:pt>
                <c:pt idx="22">
                  <c:v>3.8</c:v>
                </c:pt>
                <c:pt idx="23">
                  <c:v>3.7</c:v>
                </c:pt>
                <c:pt idx="24">
                  <c:v>3.9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5E-4048-A107-3F053C261092}"/>
            </c:ext>
          </c:extLst>
        </c:ser>
        <c:ser>
          <c:idx val="2"/>
          <c:order val="2"/>
          <c:tx>
            <c:strRef>
              <c:f>Resp!$J$31</c:f>
              <c:strCache>
                <c:ptCount val="1"/>
                <c:pt idx="0">
                  <c:v>Calidad de los distractores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'1Year'!$G$32:$G$56</c:f>
              <c:strCache>
                <c:ptCount val="25"/>
                <c:pt idx="0">
                  <c:v>Q_01</c:v>
                </c:pt>
                <c:pt idx="1">
                  <c:v>Q_02</c:v>
                </c:pt>
                <c:pt idx="2">
                  <c:v>Q_03</c:v>
                </c:pt>
                <c:pt idx="3">
                  <c:v>Q_04</c:v>
                </c:pt>
                <c:pt idx="4">
                  <c:v>Q_05</c:v>
                </c:pt>
                <c:pt idx="5">
                  <c:v>Q_06</c:v>
                </c:pt>
                <c:pt idx="6">
                  <c:v>Q_07</c:v>
                </c:pt>
                <c:pt idx="7">
                  <c:v>Q_08</c:v>
                </c:pt>
                <c:pt idx="8">
                  <c:v>Q_09</c:v>
                </c:pt>
                <c:pt idx="9">
                  <c:v>Q_10</c:v>
                </c:pt>
                <c:pt idx="10">
                  <c:v>Q_11</c:v>
                </c:pt>
                <c:pt idx="11">
                  <c:v>Q_12</c:v>
                </c:pt>
                <c:pt idx="12">
                  <c:v>Q_13</c:v>
                </c:pt>
                <c:pt idx="13">
                  <c:v>Q_14</c:v>
                </c:pt>
                <c:pt idx="14">
                  <c:v>Q_15</c:v>
                </c:pt>
                <c:pt idx="15">
                  <c:v>Q_16</c:v>
                </c:pt>
                <c:pt idx="16">
                  <c:v>Q_17</c:v>
                </c:pt>
                <c:pt idx="17">
                  <c:v>Q_18</c:v>
                </c:pt>
                <c:pt idx="18">
                  <c:v>Q_19</c:v>
                </c:pt>
                <c:pt idx="19">
                  <c:v>Q_20</c:v>
                </c:pt>
                <c:pt idx="20">
                  <c:v>Q_21</c:v>
                </c:pt>
                <c:pt idx="21">
                  <c:v>Q_22</c:v>
                </c:pt>
                <c:pt idx="22">
                  <c:v>Q_23</c:v>
                </c:pt>
                <c:pt idx="23">
                  <c:v>Q_24</c:v>
                </c:pt>
                <c:pt idx="24">
                  <c:v>Q_25</c:v>
                </c:pt>
              </c:strCache>
            </c:strRef>
          </c:cat>
          <c:val>
            <c:numRef>
              <c:f>Resp!$J$32:$J$56</c:f>
              <c:numCache>
                <c:formatCode>General</c:formatCode>
                <c:ptCount val="25"/>
                <c:pt idx="0">
                  <c:v>3.7</c:v>
                </c:pt>
                <c:pt idx="1">
                  <c:v>3.7</c:v>
                </c:pt>
                <c:pt idx="2">
                  <c:v>3.9</c:v>
                </c:pt>
                <c:pt idx="3">
                  <c:v>4.3</c:v>
                </c:pt>
                <c:pt idx="4">
                  <c:v>3.1</c:v>
                </c:pt>
                <c:pt idx="5">
                  <c:v>3.9</c:v>
                </c:pt>
                <c:pt idx="6">
                  <c:v>3.9</c:v>
                </c:pt>
                <c:pt idx="7">
                  <c:v>3.8</c:v>
                </c:pt>
                <c:pt idx="8">
                  <c:v>3.7</c:v>
                </c:pt>
                <c:pt idx="9">
                  <c:v>4.3</c:v>
                </c:pt>
                <c:pt idx="10">
                  <c:v>4.0999999999999996</c:v>
                </c:pt>
                <c:pt idx="11">
                  <c:v>4.2</c:v>
                </c:pt>
                <c:pt idx="12">
                  <c:v>4</c:v>
                </c:pt>
                <c:pt idx="13">
                  <c:v>3.7</c:v>
                </c:pt>
                <c:pt idx="14">
                  <c:v>3.6</c:v>
                </c:pt>
                <c:pt idx="15">
                  <c:v>3.9</c:v>
                </c:pt>
                <c:pt idx="16">
                  <c:v>3.8</c:v>
                </c:pt>
                <c:pt idx="17">
                  <c:v>3.9</c:v>
                </c:pt>
                <c:pt idx="18">
                  <c:v>3.6</c:v>
                </c:pt>
                <c:pt idx="19">
                  <c:v>3.6</c:v>
                </c:pt>
                <c:pt idx="20">
                  <c:v>3.5</c:v>
                </c:pt>
                <c:pt idx="21">
                  <c:v>3.8</c:v>
                </c:pt>
                <c:pt idx="22">
                  <c:v>4.3</c:v>
                </c:pt>
                <c:pt idx="23">
                  <c:v>4.0999999999999996</c:v>
                </c:pt>
                <c:pt idx="24">
                  <c:v>3.8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5E-4048-A107-3F053C261092}"/>
            </c:ext>
          </c:extLst>
        </c:ser>
        <c:ser>
          <c:idx val="3"/>
          <c:order val="3"/>
          <c:tx>
            <c:strRef>
              <c:f>Resp!$K$31</c:f>
              <c:strCache>
                <c:ptCount val="1"/>
                <c:pt idx="0">
                  <c:v>Validez pedagógica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'1Year'!$G$32:$G$56</c:f>
              <c:strCache>
                <c:ptCount val="25"/>
                <c:pt idx="0">
                  <c:v>Q_01</c:v>
                </c:pt>
                <c:pt idx="1">
                  <c:v>Q_02</c:v>
                </c:pt>
                <c:pt idx="2">
                  <c:v>Q_03</c:v>
                </c:pt>
                <c:pt idx="3">
                  <c:v>Q_04</c:v>
                </c:pt>
                <c:pt idx="4">
                  <c:v>Q_05</c:v>
                </c:pt>
                <c:pt idx="5">
                  <c:v>Q_06</c:v>
                </c:pt>
                <c:pt idx="6">
                  <c:v>Q_07</c:v>
                </c:pt>
                <c:pt idx="7">
                  <c:v>Q_08</c:v>
                </c:pt>
                <c:pt idx="8">
                  <c:v>Q_09</c:v>
                </c:pt>
                <c:pt idx="9">
                  <c:v>Q_10</c:v>
                </c:pt>
                <c:pt idx="10">
                  <c:v>Q_11</c:v>
                </c:pt>
                <c:pt idx="11">
                  <c:v>Q_12</c:v>
                </c:pt>
                <c:pt idx="12">
                  <c:v>Q_13</c:v>
                </c:pt>
                <c:pt idx="13">
                  <c:v>Q_14</c:v>
                </c:pt>
                <c:pt idx="14">
                  <c:v>Q_15</c:v>
                </c:pt>
                <c:pt idx="15">
                  <c:v>Q_16</c:v>
                </c:pt>
                <c:pt idx="16">
                  <c:v>Q_17</c:v>
                </c:pt>
                <c:pt idx="17">
                  <c:v>Q_18</c:v>
                </c:pt>
                <c:pt idx="18">
                  <c:v>Q_19</c:v>
                </c:pt>
                <c:pt idx="19">
                  <c:v>Q_20</c:v>
                </c:pt>
                <c:pt idx="20">
                  <c:v>Q_21</c:v>
                </c:pt>
                <c:pt idx="21">
                  <c:v>Q_22</c:v>
                </c:pt>
                <c:pt idx="22">
                  <c:v>Q_23</c:v>
                </c:pt>
                <c:pt idx="23">
                  <c:v>Q_24</c:v>
                </c:pt>
                <c:pt idx="24">
                  <c:v>Q_25</c:v>
                </c:pt>
              </c:strCache>
            </c:strRef>
          </c:cat>
          <c:val>
            <c:numRef>
              <c:f>Resp!$K$32:$K$56</c:f>
              <c:numCache>
                <c:formatCode>General</c:formatCode>
                <c:ptCount val="25"/>
                <c:pt idx="0">
                  <c:v>3.4</c:v>
                </c:pt>
                <c:pt idx="1">
                  <c:v>4.0999999999999996</c:v>
                </c:pt>
                <c:pt idx="2">
                  <c:v>4.2</c:v>
                </c:pt>
                <c:pt idx="3">
                  <c:v>4.0999999999999996</c:v>
                </c:pt>
                <c:pt idx="4">
                  <c:v>3.2</c:v>
                </c:pt>
                <c:pt idx="5">
                  <c:v>4.0999999999999996</c:v>
                </c:pt>
                <c:pt idx="6">
                  <c:v>3.7</c:v>
                </c:pt>
                <c:pt idx="7">
                  <c:v>4.2</c:v>
                </c:pt>
                <c:pt idx="8">
                  <c:v>3.7</c:v>
                </c:pt>
                <c:pt idx="9">
                  <c:v>4.4000000000000004</c:v>
                </c:pt>
                <c:pt idx="10">
                  <c:v>4.4000000000000004</c:v>
                </c:pt>
                <c:pt idx="11">
                  <c:v>4.3</c:v>
                </c:pt>
                <c:pt idx="12">
                  <c:v>4</c:v>
                </c:pt>
                <c:pt idx="13">
                  <c:v>3.6</c:v>
                </c:pt>
                <c:pt idx="14">
                  <c:v>4.3</c:v>
                </c:pt>
                <c:pt idx="15">
                  <c:v>3.5</c:v>
                </c:pt>
                <c:pt idx="16">
                  <c:v>3.8</c:v>
                </c:pt>
                <c:pt idx="17">
                  <c:v>4.2</c:v>
                </c:pt>
                <c:pt idx="18">
                  <c:v>3.8</c:v>
                </c:pt>
                <c:pt idx="19">
                  <c:v>3.8</c:v>
                </c:pt>
                <c:pt idx="20">
                  <c:v>3.9</c:v>
                </c:pt>
                <c:pt idx="21">
                  <c:v>3.7</c:v>
                </c:pt>
                <c:pt idx="22">
                  <c:v>4.4000000000000004</c:v>
                </c:pt>
                <c:pt idx="23">
                  <c:v>4.3</c:v>
                </c:pt>
                <c:pt idx="24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A5E-4048-A107-3F053C261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7491232"/>
        <c:axId val="707498432"/>
      </c:barChart>
      <c:lineChart>
        <c:grouping val="standard"/>
        <c:varyColors val="0"/>
        <c:ser>
          <c:idx val="4"/>
          <c:order val="4"/>
          <c:tx>
            <c:v>Media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Resp!$L$32:$L$56</c:f>
              <c:numCache>
                <c:formatCode>General</c:formatCode>
                <c:ptCount val="25"/>
                <c:pt idx="0">
                  <c:v>3.5249999999999999</c:v>
                </c:pt>
                <c:pt idx="1">
                  <c:v>4.0500000000000007</c:v>
                </c:pt>
                <c:pt idx="2">
                  <c:v>4.1749999999999998</c:v>
                </c:pt>
                <c:pt idx="3">
                  <c:v>4.2249999999999996</c:v>
                </c:pt>
                <c:pt idx="4">
                  <c:v>3.25</c:v>
                </c:pt>
                <c:pt idx="5">
                  <c:v>3.9249999999999998</c:v>
                </c:pt>
                <c:pt idx="6">
                  <c:v>3.8499999999999996</c:v>
                </c:pt>
                <c:pt idx="7">
                  <c:v>3.9749999999999996</c:v>
                </c:pt>
                <c:pt idx="8">
                  <c:v>3.7249999999999996</c:v>
                </c:pt>
                <c:pt idx="9">
                  <c:v>4.2750000000000004</c:v>
                </c:pt>
                <c:pt idx="10">
                  <c:v>4.3</c:v>
                </c:pt>
                <c:pt idx="11">
                  <c:v>4.2</c:v>
                </c:pt>
                <c:pt idx="12">
                  <c:v>3.9750000000000001</c:v>
                </c:pt>
                <c:pt idx="13">
                  <c:v>3.6999999999999997</c:v>
                </c:pt>
                <c:pt idx="14">
                  <c:v>3.9000000000000004</c:v>
                </c:pt>
                <c:pt idx="15">
                  <c:v>3.625</c:v>
                </c:pt>
                <c:pt idx="16">
                  <c:v>3.75</c:v>
                </c:pt>
                <c:pt idx="17">
                  <c:v>4.0750000000000002</c:v>
                </c:pt>
                <c:pt idx="18">
                  <c:v>3.5999999999999996</c:v>
                </c:pt>
                <c:pt idx="19">
                  <c:v>3.7</c:v>
                </c:pt>
                <c:pt idx="20">
                  <c:v>3.7250000000000001</c:v>
                </c:pt>
                <c:pt idx="21">
                  <c:v>3.7</c:v>
                </c:pt>
                <c:pt idx="22">
                  <c:v>4.1750000000000007</c:v>
                </c:pt>
                <c:pt idx="23">
                  <c:v>4.125</c:v>
                </c:pt>
                <c:pt idx="24">
                  <c:v>3.9249999999999998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5E-4048-A107-3F053C2610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491232"/>
        <c:axId val="707498432"/>
      </c:lineChart>
      <c:catAx>
        <c:axId val="70749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7498432"/>
        <c:crosses val="autoZero"/>
        <c:auto val="1"/>
        <c:lblAlgn val="ctr"/>
        <c:lblOffset val="100"/>
        <c:noMultiLvlLbl val="0"/>
      </c:catAx>
      <c:valAx>
        <c:axId val="70749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749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1 año - Calidad de las preguntas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'1Year'!$H$31</c:f>
              <c:strCache>
                <c:ptCount val="1"/>
                <c:pt idx="0">
                  <c:v> Claridad técnica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'1Year'!$G$32:$G$56</c:f>
              <c:strCache>
                <c:ptCount val="25"/>
                <c:pt idx="0">
                  <c:v>Q_01</c:v>
                </c:pt>
                <c:pt idx="1">
                  <c:v>Q_02</c:v>
                </c:pt>
                <c:pt idx="2">
                  <c:v>Q_03</c:v>
                </c:pt>
                <c:pt idx="3">
                  <c:v>Q_04</c:v>
                </c:pt>
                <c:pt idx="4">
                  <c:v>Q_05</c:v>
                </c:pt>
                <c:pt idx="5">
                  <c:v>Q_06</c:v>
                </c:pt>
                <c:pt idx="6">
                  <c:v>Q_07</c:v>
                </c:pt>
                <c:pt idx="7">
                  <c:v>Q_08</c:v>
                </c:pt>
                <c:pt idx="8">
                  <c:v>Q_09</c:v>
                </c:pt>
                <c:pt idx="9">
                  <c:v>Q_10</c:v>
                </c:pt>
                <c:pt idx="10">
                  <c:v>Q_11</c:v>
                </c:pt>
                <c:pt idx="11">
                  <c:v>Q_12</c:v>
                </c:pt>
                <c:pt idx="12">
                  <c:v>Q_13</c:v>
                </c:pt>
                <c:pt idx="13">
                  <c:v>Q_14</c:v>
                </c:pt>
                <c:pt idx="14">
                  <c:v>Q_15</c:v>
                </c:pt>
                <c:pt idx="15">
                  <c:v>Q_16</c:v>
                </c:pt>
                <c:pt idx="16">
                  <c:v>Q_17</c:v>
                </c:pt>
                <c:pt idx="17">
                  <c:v>Q_18</c:v>
                </c:pt>
                <c:pt idx="18">
                  <c:v>Q_19</c:v>
                </c:pt>
                <c:pt idx="19">
                  <c:v>Q_20</c:v>
                </c:pt>
                <c:pt idx="20">
                  <c:v>Q_21</c:v>
                </c:pt>
                <c:pt idx="21">
                  <c:v>Q_22</c:v>
                </c:pt>
                <c:pt idx="22">
                  <c:v>Q_23</c:v>
                </c:pt>
                <c:pt idx="23">
                  <c:v>Q_24</c:v>
                </c:pt>
                <c:pt idx="24">
                  <c:v>Q_25</c:v>
                </c:pt>
              </c:strCache>
            </c:strRef>
          </c:cat>
          <c:val>
            <c:numRef>
              <c:f>'1Year'!$H$32:$H$56</c:f>
              <c:numCache>
                <c:formatCode>General</c:formatCode>
                <c:ptCount val="25"/>
                <c:pt idx="0">
                  <c:v>4</c:v>
                </c:pt>
                <c:pt idx="1">
                  <c:v>4.25</c:v>
                </c:pt>
                <c:pt idx="2">
                  <c:v>4.25</c:v>
                </c:pt>
                <c:pt idx="3">
                  <c:v>4.5</c:v>
                </c:pt>
                <c:pt idx="4">
                  <c:v>3.5</c:v>
                </c:pt>
                <c:pt idx="5">
                  <c:v>4</c:v>
                </c:pt>
                <c:pt idx="6">
                  <c:v>4.25</c:v>
                </c:pt>
                <c:pt idx="7">
                  <c:v>4</c:v>
                </c:pt>
                <c:pt idx="8">
                  <c:v>4.25</c:v>
                </c:pt>
                <c:pt idx="9">
                  <c:v>4.5</c:v>
                </c:pt>
                <c:pt idx="10">
                  <c:v>4.25</c:v>
                </c:pt>
                <c:pt idx="11">
                  <c:v>4.25</c:v>
                </c:pt>
                <c:pt idx="12">
                  <c:v>4</c:v>
                </c:pt>
                <c:pt idx="13">
                  <c:v>4</c:v>
                </c:pt>
                <c:pt idx="14">
                  <c:v>3.75</c:v>
                </c:pt>
                <c:pt idx="15">
                  <c:v>3.75</c:v>
                </c:pt>
                <c:pt idx="16">
                  <c:v>3.5</c:v>
                </c:pt>
                <c:pt idx="17">
                  <c:v>4.5</c:v>
                </c:pt>
                <c:pt idx="18">
                  <c:v>4</c:v>
                </c:pt>
                <c:pt idx="19">
                  <c:v>4.25</c:v>
                </c:pt>
                <c:pt idx="20">
                  <c:v>4</c:v>
                </c:pt>
                <c:pt idx="21">
                  <c:v>4</c:v>
                </c:pt>
                <c:pt idx="22">
                  <c:v>4.25</c:v>
                </c:pt>
                <c:pt idx="23">
                  <c:v>4.5</c:v>
                </c:pt>
                <c:pt idx="24">
                  <c:v>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0-4A28-B69A-EDFB8EC7063B}"/>
            </c:ext>
          </c:extLst>
        </c:ser>
        <c:ser>
          <c:idx val="1"/>
          <c:order val="1"/>
          <c:tx>
            <c:strRef>
              <c:f>'1Year'!$I$31</c:f>
              <c:strCache>
                <c:ptCount val="1"/>
                <c:pt idx="0">
                  <c:v>Nivel de dificultad adecuado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'1Year'!$G$32:$G$56</c:f>
              <c:strCache>
                <c:ptCount val="25"/>
                <c:pt idx="0">
                  <c:v>Q_01</c:v>
                </c:pt>
                <c:pt idx="1">
                  <c:v>Q_02</c:v>
                </c:pt>
                <c:pt idx="2">
                  <c:v>Q_03</c:v>
                </c:pt>
                <c:pt idx="3">
                  <c:v>Q_04</c:v>
                </c:pt>
                <c:pt idx="4">
                  <c:v>Q_05</c:v>
                </c:pt>
                <c:pt idx="5">
                  <c:v>Q_06</c:v>
                </c:pt>
                <c:pt idx="6">
                  <c:v>Q_07</c:v>
                </c:pt>
                <c:pt idx="7">
                  <c:v>Q_08</c:v>
                </c:pt>
                <c:pt idx="8">
                  <c:v>Q_09</c:v>
                </c:pt>
                <c:pt idx="9">
                  <c:v>Q_10</c:v>
                </c:pt>
                <c:pt idx="10">
                  <c:v>Q_11</c:v>
                </c:pt>
                <c:pt idx="11">
                  <c:v>Q_12</c:v>
                </c:pt>
                <c:pt idx="12">
                  <c:v>Q_13</c:v>
                </c:pt>
                <c:pt idx="13">
                  <c:v>Q_14</c:v>
                </c:pt>
                <c:pt idx="14">
                  <c:v>Q_15</c:v>
                </c:pt>
                <c:pt idx="15">
                  <c:v>Q_16</c:v>
                </c:pt>
                <c:pt idx="16">
                  <c:v>Q_17</c:v>
                </c:pt>
                <c:pt idx="17">
                  <c:v>Q_18</c:v>
                </c:pt>
                <c:pt idx="18">
                  <c:v>Q_19</c:v>
                </c:pt>
                <c:pt idx="19">
                  <c:v>Q_20</c:v>
                </c:pt>
                <c:pt idx="20">
                  <c:v>Q_21</c:v>
                </c:pt>
                <c:pt idx="21">
                  <c:v>Q_22</c:v>
                </c:pt>
                <c:pt idx="22">
                  <c:v>Q_23</c:v>
                </c:pt>
                <c:pt idx="23">
                  <c:v>Q_24</c:v>
                </c:pt>
                <c:pt idx="24">
                  <c:v>Q_25</c:v>
                </c:pt>
              </c:strCache>
            </c:strRef>
          </c:cat>
          <c:val>
            <c:numRef>
              <c:f>'1Year'!$I$32:$I$56</c:f>
              <c:numCache>
                <c:formatCode>General</c:formatCode>
                <c:ptCount val="25"/>
                <c:pt idx="0">
                  <c:v>4</c:v>
                </c:pt>
                <c:pt idx="1">
                  <c:v>3.75</c:v>
                </c:pt>
                <c:pt idx="2">
                  <c:v>4</c:v>
                </c:pt>
                <c:pt idx="3">
                  <c:v>4</c:v>
                </c:pt>
                <c:pt idx="4">
                  <c:v>3.25</c:v>
                </c:pt>
                <c:pt idx="5">
                  <c:v>3.5</c:v>
                </c:pt>
                <c:pt idx="6">
                  <c:v>3</c:v>
                </c:pt>
                <c:pt idx="7">
                  <c:v>3.5</c:v>
                </c:pt>
                <c:pt idx="8">
                  <c:v>3.5</c:v>
                </c:pt>
                <c:pt idx="9">
                  <c:v>3.75</c:v>
                </c:pt>
                <c:pt idx="10">
                  <c:v>3.75</c:v>
                </c:pt>
                <c:pt idx="11">
                  <c:v>3.75</c:v>
                </c:pt>
                <c:pt idx="12">
                  <c:v>3.75</c:v>
                </c:pt>
                <c:pt idx="13">
                  <c:v>3.5</c:v>
                </c:pt>
                <c:pt idx="14">
                  <c:v>2.75</c:v>
                </c:pt>
                <c:pt idx="15">
                  <c:v>3.5</c:v>
                </c:pt>
                <c:pt idx="16">
                  <c:v>2.75</c:v>
                </c:pt>
                <c:pt idx="17">
                  <c:v>3.75</c:v>
                </c:pt>
                <c:pt idx="18">
                  <c:v>3.5</c:v>
                </c:pt>
                <c:pt idx="19">
                  <c:v>3.75</c:v>
                </c:pt>
                <c:pt idx="20">
                  <c:v>3.75</c:v>
                </c:pt>
                <c:pt idx="21">
                  <c:v>3.75</c:v>
                </c:pt>
                <c:pt idx="22">
                  <c:v>3.75</c:v>
                </c:pt>
                <c:pt idx="23">
                  <c:v>3</c:v>
                </c:pt>
                <c:pt idx="24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F20-4A28-B69A-EDFB8EC7063B}"/>
            </c:ext>
          </c:extLst>
        </c:ser>
        <c:ser>
          <c:idx val="2"/>
          <c:order val="2"/>
          <c:tx>
            <c:strRef>
              <c:f>'1Year'!$J$31</c:f>
              <c:strCache>
                <c:ptCount val="1"/>
                <c:pt idx="0">
                  <c:v>Calidad de los distractores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'1Year'!$G$32:$G$56</c:f>
              <c:strCache>
                <c:ptCount val="25"/>
                <c:pt idx="0">
                  <c:v>Q_01</c:v>
                </c:pt>
                <c:pt idx="1">
                  <c:v>Q_02</c:v>
                </c:pt>
                <c:pt idx="2">
                  <c:v>Q_03</c:v>
                </c:pt>
                <c:pt idx="3">
                  <c:v>Q_04</c:v>
                </c:pt>
                <c:pt idx="4">
                  <c:v>Q_05</c:v>
                </c:pt>
                <c:pt idx="5">
                  <c:v>Q_06</c:v>
                </c:pt>
                <c:pt idx="6">
                  <c:v>Q_07</c:v>
                </c:pt>
                <c:pt idx="7">
                  <c:v>Q_08</c:v>
                </c:pt>
                <c:pt idx="8">
                  <c:v>Q_09</c:v>
                </c:pt>
                <c:pt idx="9">
                  <c:v>Q_10</c:v>
                </c:pt>
                <c:pt idx="10">
                  <c:v>Q_11</c:v>
                </c:pt>
                <c:pt idx="11">
                  <c:v>Q_12</c:v>
                </c:pt>
                <c:pt idx="12">
                  <c:v>Q_13</c:v>
                </c:pt>
                <c:pt idx="13">
                  <c:v>Q_14</c:v>
                </c:pt>
                <c:pt idx="14">
                  <c:v>Q_15</c:v>
                </c:pt>
                <c:pt idx="15">
                  <c:v>Q_16</c:v>
                </c:pt>
                <c:pt idx="16">
                  <c:v>Q_17</c:v>
                </c:pt>
                <c:pt idx="17">
                  <c:v>Q_18</c:v>
                </c:pt>
                <c:pt idx="18">
                  <c:v>Q_19</c:v>
                </c:pt>
                <c:pt idx="19">
                  <c:v>Q_20</c:v>
                </c:pt>
                <c:pt idx="20">
                  <c:v>Q_21</c:v>
                </c:pt>
                <c:pt idx="21">
                  <c:v>Q_22</c:v>
                </c:pt>
                <c:pt idx="22">
                  <c:v>Q_23</c:v>
                </c:pt>
                <c:pt idx="23">
                  <c:v>Q_24</c:v>
                </c:pt>
                <c:pt idx="24">
                  <c:v>Q_25</c:v>
                </c:pt>
              </c:strCache>
            </c:strRef>
          </c:cat>
          <c:val>
            <c:numRef>
              <c:f>'1Year'!$J$32:$J$56</c:f>
              <c:numCache>
                <c:formatCode>General</c:formatCode>
                <c:ptCount val="25"/>
                <c:pt idx="0">
                  <c:v>3.75</c:v>
                </c:pt>
                <c:pt idx="1">
                  <c:v>3.25</c:v>
                </c:pt>
                <c:pt idx="2">
                  <c:v>4</c:v>
                </c:pt>
                <c:pt idx="3">
                  <c:v>4.25</c:v>
                </c:pt>
                <c:pt idx="4">
                  <c:v>2.75</c:v>
                </c:pt>
                <c:pt idx="5">
                  <c:v>3.5</c:v>
                </c:pt>
                <c:pt idx="6">
                  <c:v>3.25</c:v>
                </c:pt>
                <c:pt idx="7">
                  <c:v>3.5</c:v>
                </c:pt>
                <c:pt idx="8">
                  <c:v>3.5</c:v>
                </c:pt>
                <c:pt idx="9">
                  <c:v>4.5</c:v>
                </c:pt>
                <c:pt idx="10">
                  <c:v>3.75</c:v>
                </c:pt>
                <c:pt idx="11">
                  <c:v>4</c:v>
                </c:pt>
                <c:pt idx="12">
                  <c:v>3.75</c:v>
                </c:pt>
                <c:pt idx="13">
                  <c:v>3.5</c:v>
                </c:pt>
                <c:pt idx="14">
                  <c:v>3.25</c:v>
                </c:pt>
                <c:pt idx="15">
                  <c:v>3.75</c:v>
                </c:pt>
                <c:pt idx="16">
                  <c:v>3.25</c:v>
                </c:pt>
                <c:pt idx="17">
                  <c:v>4</c:v>
                </c:pt>
                <c:pt idx="18">
                  <c:v>3.5</c:v>
                </c:pt>
                <c:pt idx="19">
                  <c:v>4</c:v>
                </c:pt>
                <c:pt idx="20">
                  <c:v>3.75</c:v>
                </c:pt>
                <c:pt idx="21">
                  <c:v>3.75</c:v>
                </c:pt>
                <c:pt idx="22">
                  <c:v>4.25</c:v>
                </c:pt>
                <c:pt idx="23">
                  <c:v>3.75</c:v>
                </c:pt>
                <c:pt idx="24">
                  <c:v>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F20-4A28-B69A-EDFB8EC7063B}"/>
            </c:ext>
          </c:extLst>
        </c:ser>
        <c:ser>
          <c:idx val="3"/>
          <c:order val="3"/>
          <c:tx>
            <c:strRef>
              <c:f>'1Year'!$K$31</c:f>
              <c:strCache>
                <c:ptCount val="1"/>
                <c:pt idx="0">
                  <c:v>Validez pedagógica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'1Year'!$G$32:$G$56</c:f>
              <c:strCache>
                <c:ptCount val="25"/>
                <c:pt idx="0">
                  <c:v>Q_01</c:v>
                </c:pt>
                <c:pt idx="1">
                  <c:v>Q_02</c:v>
                </c:pt>
                <c:pt idx="2">
                  <c:v>Q_03</c:v>
                </c:pt>
                <c:pt idx="3">
                  <c:v>Q_04</c:v>
                </c:pt>
                <c:pt idx="4">
                  <c:v>Q_05</c:v>
                </c:pt>
                <c:pt idx="5">
                  <c:v>Q_06</c:v>
                </c:pt>
                <c:pt idx="6">
                  <c:v>Q_07</c:v>
                </c:pt>
                <c:pt idx="7">
                  <c:v>Q_08</c:v>
                </c:pt>
                <c:pt idx="8">
                  <c:v>Q_09</c:v>
                </c:pt>
                <c:pt idx="9">
                  <c:v>Q_10</c:v>
                </c:pt>
                <c:pt idx="10">
                  <c:v>Q_11</c:v>
                </c:pt>
                <c:pt idx="11">
                  <c:v>Q_12</c:v>
                </c:pt>
                <c:pt idx="12">
                  <c:v>Q_13</c:v>
                </c:pt>
                <c:pt idx="13">
                  <c:v>Q_14</c:v>
                </c:pt>
                <c:pt idx="14">
                  <c:v>Q_15</c:v>
                </c:pt>
                <c:pt idx="15">
                  <c:v>Q_16</c:v>
                </c:pt>
                <c:pt idx="16">
                  <c:v>Q_17</c:v>
                </c:pt>
                <c:pt idx="17">
                  <c:v>Q_18</c:v>
                </c:pt>
                <c:pt idx="18">
                  <c:v>Q_19</c:v>
                </c:pt>
                <c:pt idx="19">
                  <c:v>Q_20</c:v>
                </c:pt>
                <c:pt idx="20">
                  <c:v>Q_21</c:v>
                </c:pt>
                <c:pt idx="21">
                  <c:v>Q_22</c:v>
                </c:pt>
                <c:pt idx="22">
                  <c:v>Q_23</c:v>
                </c:pt>
                <c:pt idx="23">
                  <c:v>Q_24</c:v>
                </c:pt>
                <c:pt idx="24">
                  <c:v>Q_25</c:v>
                </c:pt>
              </c:strCache>
            </c:strRef>
          </c:cat>
          <c:val>
            <c:numRef>
              <c:f>'1Year'!$K$32:$K$56</c:f>
              <c:numCache>
                <c:formatCode>General</c:formatCode>
                <c:ptCount val="25"/>
                <c:pt idx="0">
                  <c:v>3.75</c:v>
                </c:pt>
                <c:pt idx="1">
                  <c:v>4</c:v>
                </c:pt>
                <c:pt idx="2">
                  <c:v>4.25</c:v>
                </c:pt>
                <c:pt idx="3">
                  <c:v>3.75</c:v>
                </c:pt>
                <c:pt idx="4">
                  <c:v>2.75</c:v>
                </c:pt>
                <c:pt idx="5">
                  <c:v>4</c:v>
                </c:pt>
                <c:pt idx="6">
                  <c:v>3.5</c:v>
                </c:pt>
                <c:pt idx="7">
                  <c:v>4</c:v>
                </c:pt>
                <c:pt idx="8">
                  <c:v>3.75</c:v>
                </c:pt>
                <c:pt idx="9">
                  <c:v>4.25</c:v>
                </c:pt>
                <c:pt idx="10">
                  <c:v>4.25</c:v>
                </c:pt>
                <c:pt idx="11">
                  <c:v>4.25</c:v>
                </c:pt>
                <c:pt idx="12">
                  <c:v>3.75</c:v>
                </c:pt>
                <c:pt idx="13">
                  <c:v>3.5</c:v>
                </c:pt>
                <c:pt idx="14">
                  <c:v>3.75</c:v>
                </c:pt>
                <c:pt idx="15">
                  <c:v>3.5</c:v>
                </c:pt>
                <c:pt idx="16">
                  <c:v>3.25</c:v>
                </c:pt>
                <c:pt idx="17">
                  <c:v>4.25</c:v>
                </c:pt>
                <c:pt idx="18">
                  <c:v>4</c:v>
                </c:pt>
                <c:pt idx="19">
                  <c:v>4</c:v>
                </c:pt>
                <c:pt idx="20">
                  <c:v>4</c:v>
                </c:pt>
                <c:pt idx="21">
                  <c:v>4</c:v>
                </c:pt>
                <c:pt idx="22">
                  <c:v>4.5</c:v>
                </c:pt>
                <c:pt idx="23">
                  <c:v>4.25</c:v>
                </c:pt>
                <c:pt idx="24">
                  <c:v>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F20-4A28-B69A-EDFB8EC70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7491232"/>
        <c:axId val="707498432"/>
      </c:barChart>
      <c:lineChart>
        <c:grouping val="standard"/>
        <c:varyColors val="0"/>
        <c:ser>
          <c:idx val="4"/>
          <c:order val="4"/>
          <c:tx>
            <c:v>Media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'1Year'!$L$32:$L$56</c:f>
              <c:numCache>
                <c:formatCode>General</c:formatCode>
                <c:ptCount val="25"/>
                <c:pt idx="0">
                  <c:v>3.875</c:v>
                </c:pt>
                <c:pt idx="1">
                  <c:v>3.8125</c:v>
                </c:pt>
                <c:pt idx="2">
                  <c:v>4.125</c:v>
                </c:pt>
                <c:pt idx="3">
                  <c:v>4.125</c:v>
                </c:pt>
                <c:pt idx="4">
                  <c:v>3.0625</c:v>
                </c:pt>
                <c:pt idx="5">
                  <c:v>3.75</c:v>
                </c:pt>
                <c:pt idx="6">
                  <c:v>3.5</c:v>
                </c:pt>
                <c:pt idx="7">
                  <c:v>3.75</c:v>
                </c:pt>
                <c:pt idx="8">
                  <c:v>3.75</c:v>
                </c:pt>
                <c:pt idx="9">
                  <c:v>4.25</c:v>
                </c:pt>
                <c:pt idx="10">
                  <c:v>4</c:v>
                </c:pt>
                <c:pt idx="11">
                  <c:v>4.0625</c:v>
                </c:pt>
                <c:pt idx="12">
                  <c:v>3.8125</c:v>
                </c:pt>
                <c:pt idx="13">
                  <c:v>3.625</c:v>
                </c:pt>
                <c:pt idx="14">
                  <c:v>3.375</c:v>
                </c:pt>
                <c:pt idx="15">
                  <c:v>3.625</c:v>
                </c:pt>
                <c:pt idx="16">
                  <c:v>3.1875</c:v>
                </c:pt>
                <c:pt idx="17">
                  <c:v>4.125</c:v>
                </c:pt>
                <c:pt idx="18">
                  <c:v>3.75</c:v>
                </c:pt>
                <c:pt idx="19">
                  <c:v>4</c:v>
                </c:pt>
                <c:pt idx="20">
                  <c:v>3.875</c:v>
                </c:pt>
                <c:pt idx="21">
                  <c:v>3.875</c:v>
                </c:pt>
                <c:pt idx="22">
                  <c:v>4.1875</c:v>
                </c:pt>
                <c:pt idx="23">
                  <c:v>3.875</c:v>
                </c:pt>
                <c:pt idx="24">
                  <c:v>3.625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20-4A28-B69A-EDFB8EC70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491232"/>
        <c:axId val="707498432"/>
      </c:lineChart>
      <c:catAx>
        <c:axId val="70749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7498432"/>
        <c:crosses val="autoZero"/>
        <c:auto val="1"/>
        <c:lblAlgn val="ctr"/>
        <c:lblOffset val="100"/>
        <c:noMultiLvlLbl val="0"/>
      </c:catAx>
      <c:valAx>
        <c:axId val="70749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749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1 a 3 años - Calidad de las preguntas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'1Year3'!$H$31</c:f>
              <c:strCache>
                <c:ptCount val="1"/>
                <c:pt idx="0">
                  <c:v> Claridad técnica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'1Year3'!$G$32:$G$56</c:f>
              <c:strCache>
                <c:ptCount val="25"/>
                <c:pt idx="0">
                  <c:v>Q_01</c:v>
                </c:pt>
                <c:pt idx="1">
                  <c:v>Q_02</c:v>
                </c:pt>
                <c:pt idx="2">
                  <c:v>Q_03</c:v>
                </c:pt>
                <c:pt idx="3">
                  <c:v>Q_04</c:v>
                </c:pt>
                <c:pt idx="4">
                  <c:v>Q_05</c:v>
                </c:pt>
                <c:pt idx="5">
                  <c:v>Q_06</c:v>
                </c:pt>
                <c:pt idx="6">
                  <c:v>Q_07</c:v>
                </c:pt>
                <c:pt idx="7">
                  <c:v>Q_08</c:v>
                </c:pt>
                <c:pt idx="8">
                  <c:v>Q_09</c:v>
                </c:pt>
                <c:pt idx="9">
                  <c:v>Q_10</c:v>
                </c:pt>
                <c:pt idx="10">
                  <c:v>Q_11</c:v>
                </c:pt>
                <c:pt idx="11">
                  <c:v>Q_12</c:v>
                </c:pt>
                <c:pt idx="12">
                  <c:v>Q_13</c:v>
                </c:pt>
                <c:pt idx="13">
                  <c:v>Q_14</c:v>
                </c:pt>
                <c:pt idx="14">
                  <c:v>Q_15</c:v>
                </c:pt>
                <c:pt idx="15">
                  <c:v>Q_16</c:v>
                </c:pt>
                <c:pt idx="16">
                  <c:v>Q_17</c:v>
                </c:pt>
                <c:pt idx="17">
                  <c:v>Q_18</c:v>
                </c:pt>
                <c:pt idx="18">
                  <c:v>Q_19</c:v>
                </c:pt>
                <c:pt idx="19">
                  <c:v>Q_20</c:v>
                </c:pt>
                <c:pt idx="20">
                  <c:v>Q_21</c:v>
                </c:pt>
                <c:pt idx="21">
                  <c:v>Q_22</c:v>
                </c:pt>
                <c:pt idx="22">
                  <c:v>Q_23</c:v>
                </c:pt>
                <c:pt idx="23">
                  <c:v>Q_24</c:v>
                </c:pt>
                <c:pt idx="24">
                  <c:v>Q_25</c:v>
                </c:pt>
              </c:strCache>
            </c:strRef>
          </c:cat>
          <c:val>
            <c:numRef>
              <c:f>'1Year3'!$H$32:$H$56</c:f>
              <c:numCache>
                <c:formatCode>General</c:formatCode>
                <c:ptCount val="25"/>
                <c:pt idx="0">
                  <c:v>3.67</c:v>
                </c:pt>
                <c:pt idx="1">
                  <c:v>3.67</c:v>
                </c:pt>
                <c:pt idx="2">
                  <c:v>4</c:v>
                </c:pt>
                <c:pt idx="3">
                  <c:v>4</c:v>
                </c:pt>
                <c:pt idx="4">
                  <c:v>3</c:v>
                </c:pt>
                <c:pt idx="5">
                  <c:v>3.67</c:v>
                </c:pt>
                <c:pt idx="6">
                  <c:v>4</c:v>
                </c:pt>
                <c:pt idx="7">
                  <c:v>4</c:v>
                </c:pt>
                <c:pt idx="8">
                  <c:v>3.33</c:v>
                </c:pt>
                <c:pt idx="9">
                  <c:v>4</c:v>
                </c:pt>
                <c:pt idx="10">
                  <c:v>4.33</c:v>
                </c:pt>
                <c:pt idx="11">
                  <c:v>4</c:v>
                </c:pt>
                <c:pt idx="12">
                  <c:v>4.33</c:v>
                </c:pt>
                <c:pt idx="13">
                  <c:v>3</c:v>
                </c:pt>
                <c:pt idx="14">
                  <c:v>4</c:v>
                </c:pt>
                <c:pt idx="15">
                  <c:v>3</c:v>
                </c:pt>
                <c:pt idx="16">
                  <c:v>4</c:v>
                </c:pt>
                <c:pt idx="17">
                  <c:v>4</c:v>
                </c:pt>
                <c:pt idx="18">
                  <c:v>2.33</c:v>
                </c:pt>
                <c:pt idx="19">
                  <c:v>2.67</c:v>
                </c:pt>
                <c:pt idx="20">
                  <c:v>3.33</c:v>
                </c:pt>
                <c:pt idx="21">
                  <c:v>3</c:v>
                </c:pt>
                <c:pt idx="22">
                  <c:v>3.67</c:v>
                </c:pt>
                <c:pt idx="23">
                  <c:v>4</c:v>
                </c:pt>
                <c:pt idx="24">
                  <c:v>3.67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F1-46F7-B66A-C50BD6EB2C15}"/>
            </c:ext>
          </c:extLst>
        </c:ser>
        <c:ser>
          <c:idx val="1"/>
          <c:order val="1"/>
          <c:tx>
            <c:strRef>
              <c:f>'1Year3'!$I$31</c:f>
              <c:strCache>
                <c:ptCount val="1"/>
                <c:pt idx="0">
                  <c:v>Nivel de dificultad adecuado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'1Year3'!$G$32:$G$56</c:f>
              <c:strCache>
                <c:ptCount val="25"/>
                <c:pt idx="0">
                  <c:v>Q_01</c:v>
                </c:pt>
                <c:pt idx="1">
                  <c:v>Q_02</c:v>
                </c:pt>
                <c:pt idx="2">
                  <c:v>Q_03</c:v>
                </c:pt>
                <c:pt idx="3">
                  <c:v>Q_04</c:v>
                </c:pt>
                <c:pt idx="4">
                  <c:v>Q_05</c:v>
                </c:pt>
                <c:pt idx="5">
                  <c:v>Q_06</c:v>
                </c:pt>
                <c:pt idx="6">
                  <c:v>Q_07</c:v>
                </c:pt>
                <c:pt idx="7">
                  <c:v>Q_08</c:v>
                </c:pt>
                <c:pt idx="8">
                  <c:v>Q_09</c:v>
                </c:pt>
                <c:pt idx="9">
                  <c:v>Q_10</c:v>
                </c:pt>
                <c:pt idx="10">
                  <c:v>Q_11</c:v>
                </c:pt>
                <c:pt idx="11">
                  <c:v>Q_12</c:v>
                </c:pt>
                <c:pt idx="12">
                  <c:v>Q_13</c:v>
                </c:pt>
                <c:pt idx="13">
                  <c:v>Q_14</c:v>
                </c:pt>
                <c:pt idx="14">
                  <c:v>Q_15</c:v>
                </c:pt>
                <c:pt idx="15">
                  <c:v>Q_16</c:v>
                </c:pt>
                <c:pt idx="16">
                  <c:v>Q_17</c:v>
                </c:pt>
                <c:pt idx="17">
                  <c:v>Q_18</c:v>
                </c:pt>
                <c:pt idx="18">
                  <c:v>Q_19</c:v>
                </c:pt>
                <c:pt idx="19">
                  <c:v>Q_20</c:v>
                </c:pt>
                <c:pt idx="20">
                  <c:v>Q_21</c:v>
                </c:pt>
                <c:pt idx="21">
                  <c:v>Q_22</c:v>
                </c:pt>
                <c:pt idx="22">
                  <c:v>Q_23</c:v>
                </c:pt>
                <c:pt idx="23">
                  <c:v>Q_24</c:v>
                </c:pt>
                <c:pt idx="24">
                  <c:v>Q_25</c:v>
                </c:pt>
              </c:strCache>
            </c:strRef>
          </c:cat>
          <c:val>
            <c:numRef>
              <c:f>'1Year3'!$I$32:$I$56</c:f>
              <c:numCache>
                <c:formatCode>General</c:formatCode>
                <c:ptCount val="25"/>
                <c:pt idx="0">
                  <c:v>2.67</c:v>
                </c:pt>
                <c:pt idx="1">
                  <c:v>4.33</c:v>
                </c:pt>
                <c:pt idx="2">
                  <c:v>4.33</c:v>
                </c:pt>
                <c:pt idx="3">
                  <c:v>3.67</c:v>
                </c:pt>
                <c:pt idx="4">
                  <c:v>2</c:v>
                </c:pt>
                <c:pt idx="5">
                  <c:v>3.67</c:v>
                </c:pt>
                <c:pt idx="6">
                  <c:v>4</c:v>
                </c:pt>
                <c:pt idx="7">
                  <c:v>4</c:v>
                </c:pt>
                <c:pt idx="8">
                  <c:v>2.67</c:v>
                </c:pt>
                <c:pt idx="9">
                  <c:v>3.67</c:v>
                </c:pt>
                <c:pt idx="10">
                  <c:v>4.67</c:v>
                </c:pt>
                <c:pt idx="11">
                  <c:v>3.67</c:v>
                </c:pt>
                <c:pt idx="12">
                  <c:v>3.67</c:v>
                </c:pt>
                <c:pt idx="13">
                  <c:v>2.67</c:v>
                </c:pt>
                <c:pt idx="14">
                  <c:v>4.33</c:v>
                </c:pt>
                <c:pt idx="15">
                  <c:v>2.67</c:v>
                </c:pt>
                <c:pt idx="16">
                  <c:v>3.33</c:v>
                </c:pt>
                <c:pt idx="17">
                  <c:v>4</c:v>
                </c:pt>
                <c:pt idx="18">
                  <c:v>2.33</c:v>
                </c:pt>
                <c:pt idx="19">
                  <c:v>2.33</c:v>
                </c:pt>
                <c:pt idx="20">
                  <c:v>3.67</c:v>
                </c:pt>
                <c:pt idx="21">
                  <c:v>2.67</c:v>
                </c:pt>
                <c:pt idx="22">
                  <c:v>3.33</c:v>
                </c:pt>
                <c:pt idx="23">
                  <c:v>4</c:v>
                </c:pt>
                <c:pt idx="24">
                  <c:v>3.67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F1-46F7-B66A-C50BD6EB2C15}"/>
            </c:ext>
          </c:extLst>
        </c:ser>
        <c:ser>
          <c:idx val="2"/>
          <c:order val="2"/>
          <c:tx>
            <c:strRef>
              <c:f>'1Year3'!$J$31</c:f>
              <c:strCache>
                <c:ptCount val="1"/>
                <c:pt idx="0">
                  <c:v>Calidad de los distractores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'1Year3'!$G$32:$G$56</c:f>
              <c:strCache>
                <c:ptCount val="25"/>
                <c:pt idx="0">
                  <c:v>Q_01</c:v>
                </c:pt>
                <c:pt idx="1">
                  <c:v>Q_02</c:v>
                </c:pt>
                <c:pt idx="2">
                  <c:v>Q_03</c:v>
                </c:pt>
                <c:pt idx="3">
                  <c:v>Q_04</c:v>
                </c:pt>
                <c:pt idx="4">
                  <c:v>Q_05</c:v>
                </c:pt>
                <c:pt idx="5">
                  <c:v>Q_06</c:v>
                </c:pt>
                <c:pt idx="6">
                  <c:v>Q_07</c:v>
                </c:pt>
                <c:pt idx="7">
                  <c:v>Q_08</c:v>
                </c:pt>
                <c:pt idx="8">
                  <c:v>Q_09</c:v>
                </c:pt>
                <c:pt idx="9">
                  <c:v>Q_10</c:v>
                </c:pt>
                <c:pt idx="10">
                  <c:v>Q_11</c:v>
                </c:pt>
                <c:pt idx="11">
                  <c:v>Q_12</c:v>
                </c:pt>
                <c:pt idx="12">
                  <c:v>Q_13</c:v>
                </c:pt>
                <c:pt idx="13">
                  <c:v>Q_14</c:v>
                </c:pt>
                <c:pt idx="14">
                  <c:v>Q_15</c:v>
                </c:pt>
                <c:pt idx="15">
                  <c:v>Q_16</c:v>
                </c:pt>
                <c:pt idx="16">
                  <c:v>Q_17</c:v>
                </c:pt>
                <c:pt idx="17">
                  <c:v>Q_18</c:v>
                </c:pt>
                <c:pt idx="18">
                  <c:v>Q_19</c:v>
                </c:pt>
                <c:pt idx="19">
                  <c:v>Q_20</c:v>
                </c:pt>
                <c:pt idx="20">
                  <c:v>Q_21</c:v>
                </c:pt>
                <c:pt idx="21">
                  <c:v>Q_22</c:v>
                </c:pt>
                <c:pt idx="22">
                  <c:v>Q_23</c:v>
                </c:pt>
                <c:pt idx="23">
                  <c:v>Q_24</c:v>
                </c:pt>
                <c:pt idx="24">
                  <c:v>Q_25</c:v>
                </c:pt>
              </c:strCache>
            </c:strRef>
          </c:cat>
          <c:val>
            <c:numRef>
              <c:f>'1Year3'!$J$32:$J$56</c:f>
              <c:numCache>
                <c:formatCode>General</c:formatCode>
                <c:ptCount val="25"/>
                <c:pt idx="0">
                  <c:v>3.33</c:v>
                </c:pt>
                <c:pt idx="1">
                  <c:v>4</c:v>
                </c:pt>
                <c:pt idx="2">
                  <c:v>3</c:v>
                </c:pt>
                <c:pt idx="3">
                  <c:v>4</c:v>
                </c:pt>
                <c:pt idx="4">
                  <c:v>3</c:v>
                </c:pt>
                <c:pt idx="5">
                  <c:v>4</c:v>
                </c:pt>
                <c:pt idx="6">
                  <c:v>4</c:v>
                </c:pt>
                <c:pt idx="7">
                  <c:v>3.67</c:v>
                </c:pt>
                <c:pt idx="8">
                  <c:v>3.33</c:v>
                </c:pt>
                <c:pt idx="9">
                  <c:v>4</c:v>
                </c:pt>
                <c:pt idx="10">
                  <c:v>4</c:v>
                </c:pt>
                <c:pt idx="11">
                  <c:v>4</c:v>
                </c:pt>
                <c:pt idx="12">
                  <c:v>4</c:v>
                </c:pt>
                <c:pt idx="13">
                  <c:v>3</c:v>
                </c:pt>
                <c:pt idx="14">
                  <c:v>3.33</c:v>
                </c:pt>
                <c:pt idx="15">
                  <c:v>3.33</c:v>
                </c:pt>
                <c:pt idx="16">
                  <c:v>3.67</c:v>
                </c:pt>
                <c:pt idx="17">
                  <c:v>3.67</c:v>
                </c:pt>
                <c:pt idx="18">
                  <c:v>2.67</c:v>
                </c:pt>
                <c:pt idx="19">
                  <c:v>2.33</c:v>
                </c:pt>
                <c:pt idx="20">
                  <c:v>3.33</c:v>
                </c:pt>
                <c:pt idx="21">
                  <c:v>3.67</c:v>
                </c:pt>
                <c:pt idx="22">
                  <c:v>4</c:v>
                </c:pt>
                <c:pt idx="23">
                  <c:v>4</c:v>
                </c:pt>
                <c:pt idx="24">
                  <c:v>3.33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F1-46F7-B66A-C50BD6EB2C15}"/>
            </c:ext>
          </c:extLst>
        </c:ser>
        <c:ser>
          <c:idx val="3"/>
          <c:order val="3"/>
          <c:tx>
            <c:strRef>
              <c:f>'1Year3'!$K$31</c:f>
              <c:strCache>
                <c:ptCount val="1"/>
                <c:pt idx="0">
                  <c:v>Validez pedagógica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'1Year3'!$G$32:$G$56</c:f>
              <c:strCache>
                <c:ptCount val="25"/>
                <c:pt idx="0">
                  <c:v>Q_01</c:v>
                </c:pt>
                <c:pt idx="1">
                  <c:v>Q_02</c:v>
                </c:pt>
                <c:pt idx="2">
                  <c:v>Q_03</c:v>
                </c:pt>
                <c:pt idx="3">
                  <c:v>Q_04</c:v>
                </c:pt>
                <c:pt idx="4">
                  <c:v>Q_05</c:v>
                </c:pt>
                <c:pt idx="5">
                  <c:v>Q_06</c:v>
                </c:pt>
                <c:pt idx="6">
                  <c:v>Q_07</c:v>
                </c:pt>
                <c:pt idx="7">
                  <c:v>Q_08</c:v>
                </c:pt>
                <c:pt idx="8">
                  <c:v>Q_09</c:v>
                </c:pt>
                <c:pt idx="9">
                  <c:v>Q_10</c:v>
                </c:pt>
                <c:pt idx="10">
                  <c:v>Q_11</c:v>
                </c:pt>
                <c:pt idx="11">
                  <c:v>Q_12</c:v>
                </c:pt>
                <c:pt idx="12">
                  <c:v>Q_13</c:v>
                </c:pt>
                <c:pt idx="13">
                  <c:v>Q_14</c:v>
                </c:pt>
                <c:pt idx="14">
                  <c:v>Q_15</c:v>
                </c:pt>
                <c:pt idx="15">
                  <c:v>Q_16</c:v>
                </c:pt>
                <c:pt idx="16">
                  <c:v>Q_17</c:v>
                </c:pt>
                <c:pt idx="17">
                  <c:v>Q_18</c:v>
                </c:pt>
                <c:pt idx="18">
                  <c:v>Q_19</c:v>
                </c:pt>
                <c:pt idx="19">
                  <c:v>Q_20</c:v>
                </c:pt>
                <c:pt idx="20">
                  <c:v>Q_21</c:v>
                </c:pt>
                <c:pt idx="21">
                  <c:v>Q_22</c:v>
                </c:pt>
                <c:pt idx="22">
                  <c:v>Q_23</c:v>
                </c:pt>
                <c:pt idx="23">
                  <c:v>Q_24</c:v>
                </c:pt>
                <c:pt idx="24">
                  <c:v>Q_25</c:v>
                </c:pt>
              </c:strCache>
            </c:strRef>
          </c:cat>
          <c:val>
            <c:numRef>
              <c:f>'1Year3'!$K$32:$K$56</c:f>
              <c:numCache>
                <c:formatCode>General</c:formatCode>
                <c:ptCount val="25"/>
                <c:pt idx="0">
                  <c:v>2.67</c:v>
                </c:pt>
                <c:pt idx="1">
                  <c:v>4</c:v>
                </c:pt>
                <c:pt idx="2">
                  <c:v>3.67</c:v>
                </c:pt>
                <c:pt idx="3">
                  <c:v>4</c:v>
                </c:pt>
                <c:pt idx="4">
                  <c:v>3</c:v>
                </c:pt>
                <c:pt idx="5">
                  <c:v>3.67</c:v>
                </c:pt>
                <c:pt idx="6">
                  <c:v>3.67</c:v>
                </c:pt>
                <c:pt idx="7">
                  <c:v>4.33</c:v>
                </c:pt>
                <c:pt idx="8">
                  <c:v>3</c:v>
                </c:pt>
                <c:pt idx="9">
                  <c:v>4.33</c:v>
                </c:pt>
                <c:pt idx="10">
                  <c:v>4.33</c:v>
                </c:pt>
                <c:pt idx="11">
                  <c:v>4</c:v>
                </c:pt>
                <c:pt idx="12">
                  <c:v>4</c:v>
                </c:pt>
                <c:pt idx="13">
                  <c:v>2.67</c:v>
                </c:pt>
                <c:pt idx="14">
                  <c:v>4.67</c:v>
                </c:pt>
                <c:pt idx="15">
                  <c:v>3.33</c:v>
                </c:pt>
                <c:pt idx="16">
                  <c:v>3.67</c:v>
                </c:pt>
                <c:pt idx="17">
                  <c:v>4</c:v>
                </c:pt>
                <c:pt idx="18">
                  <c:v>2.67</c:v>
                </c:pt>
                <c:pt idx="19">
                  <c:v>2.67</c:v>
                </c:pt>
                <c:pt idx="20">
                  <c:v>4</c:v>
                </c:pt>
                <c:pt idx="21">
                  <c:v>3.33</c:v>
                </c:pt>
                <c:pt idx="22">
                  <c:v>4</c:v>
                </c:pt>
                <c:pt idx="23">
                  <c:v>4</c:v>
                </c:pt>
                <c:pt idx="24">
                  <c:v>3.67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F1-46F7-B66A-C50BD6EB2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7491232"/>
        <c:axId val="707498432"/>
      </c:barChart>
      <c:lineChart>
        <c:grouping val="standard"/>
        <c:varyColors val="0"/>
        <c:ser>
          <c:idx val="4"/>
          <c:order val="4"/>
          <c:tx>
            <c:v>Media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'1Year3'!$L$32:$L$56</c:f>
              <c:numCache>
                <c:formatCode>General</c:formatCode>
                <c:ptCount val="25"/>
                <c:pt idx="0">
                  <c:v>3.085</c:v>
                </c:pt>
                <c:pt idx="1">
                  <c:v>4</c:v>
                </c:pt>
                <c:pt idx="2">
                  <c:v>3.75</c:v>
                </c:pt>
                <c:pt idx="3">
                  <c:v>3.9175</c:v>
                </c:pt>
                <c:pt idx="4">
                  <c:v>2.75</c:v>
                </c:pt>
                <c:pt idx="5">
                  <c:v>3.7524999999999999</c:v>
                </c:pt>
                <c:pt idx="6">
                  <c:v>3.9175</c:v>
                </c:pt>
                <c:pt idx="7">
                  <c:v>4</c:v>
                </c:pt>
                <c:pt idx="8">
                  <c:v>3.0825</c:v>
                </c:pt>
                <c:pt idx="9">
                  <c:v>4</c:v>
                </c:pt>
                <c:pt idx="10">
                  <c:v>4.3324999999999996</c:v>
                </c:pt>
                <c:pt idx="11">
                  <c:v>3.9175</c:v>
                </c:pt>
                <c:pt idx="12">
                  <c:v>4</c:v>
                </c:pt>
                <c:pt idx="13">
                  <c:v>2.835</c:v>
                </c:pt>
                <c:pt idx="14">
                  <c:v>4.0824999999999996</c:v>
                </c:pt>
                <c:pt idx="15">
                  <c:v>3.0825</c:v>
                </c:pt>
                <c:pt idx="16">
                  <c:v>3.6675</c:v>
                </c:pt>
                <c:pt idx="17">
                  <c:v>3.9175</c:v>
                </c:pt>
                <c:pt idx="18">
                  <c:v>2.5</c:v>
                </c:pt>
                <c:pt idx="19">
                  <c:v>2.5</c:v>
                </c:pt>
                <c:pt idx="20">
                  <c:v>3.5825</c:v>
                </c:pt>
                <c:pt idx="21">
                  <c:v>3.1675</c:v>
                </c:pt>
                <c:pt idx="22">
                  <c:v>3.75</c:v>
                </c:pt>
                <c:pt idx="23">
                  <c:v>4</c:v>
                </c:pt>
                <c:pt idx="24">
                  <c:v>3.585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AF1-46F7-B66A-C50BD6EB2C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491232"/>
        <c:axId val="707498432"/>
      </c:lineChart>
      <c:catAx>
        <c:axId val="70749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7498432"/>
        <c:crosses val="autoZero"/>
        <c:auto val="1"/>
        <c:lblAlgn val="ctr"/>
        <c:lblOffset val="100"/>
        <c:noMultiLvlLbl val="0"/>
      </c:catAx>
      <c:valAx>
        <c:axId val="70749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749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3 a 7 años - Calidad de las preguntas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'3Year7'!$H$31</c:f>
              <c:strCache>
                <c:ptCount val="1"/>
                <c:pt idx="0">
                  <c:v> Claridad técnica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'3Year7'!$G$32:$G$56</c:f>
              <c:strCache>
                <c:ptCount val="25"/>
                <c:pt idx="0">
                  <c:v>Q_01</c:v>
                </c:pt>
                <c:pt idx="1">
                  <c:v>Q_02</c:v>
                </c:pt>
                <c:pt idx="2">
                  <c:v>Q_03</c:v>
                </c:pt>
                <c:pt idx="3">
                  <c:v>Q_04</c:v>
                </c:pt>
                <c:pt idx="4">
                  <c:v>Q_05</c:v>
                </c:pt>
                <c:pt idx="5">
                  <c:v>Q_06</c:v>
                </c:pt>
                <c:pt idx="6">
                  <c:v>Q_07</c:v>
                </c:pt>
                <c:pt idx="7">
                  <c:v>Q_08</c:v>
                </c:pt>
                <c:pt idx="8">
                  <c:v>Q_09</c:v>
                </c:pt>
                <c:pt idx="9">
                  <c:v>Q_10</c:v>
                </c:pt>
                <c:pt idx="10">
                  <c:v>Q_11</c:v>
                </c:pt>
                <c:pt idx="11">
                  <c:v>Q_12</c:v>
                </c:pt>
                <c:pt idx="12">
                  <c:v>Q_13</c:v>
                </c:pt>
                <c:pt idx="13">
                  <c:v>Q_14</c:v>
                </c:pt>
                <c:pt idx="14">
                  <c:v>Q_15</c:v>
                </c:pt>
                <c:pt idx="15">
                  <c:v>Q_16</c:v>
                </c:pt>
                <c:pt idx="16">
                  <c:v>Q_17</c:v>
                </c:pt>
                <c:pt idx="17">
                  <c:v>Q_18</c:v>
                </c:pt>
                <c:pt idx="18">
                  <c:v>Q_19</c:v>
                </c:pt>
                <c:pt idx="19">
                  <c:v>Q_20</c:v>
                </c:pt>
                <c:pt idx="20">
                  <c:v>Q_21</c:v>
                </c:pt>
                <c:pt idx="21">
                  <c:v>Q_22</c:v>
                </c:pt>
                <c:pt idx="22">
                  <c:v>Q_23</c:v>
                </c:pt>
                <c:pt idx="23">
                  <c:v>Q_24</c:v>
                </c:pt>
                <c:pt idx="24">
                  <c:v>Q_25</c:v>
                </c:pt>
              </c:strCache>
            </c:strRef>
          </c:cat>
          <c:val>
            <c:numRef>
              <c:f>'3Year7'!$H$32:$H$56</c:f>
              <c:numCache>
                <c:formatCode>General</c:formatCode>
                <c:ptCount val="25"/>
                <c:pt idx="0">
                  <c:v>3.67</c:v>
                </c:pt>
                <c:pt idx="1">
                  <c:v>4.67</c:v>
                </c:pt>
                <c:pt idx="2">
                  <c:v>4.67</c:v>
                </c:pt>
                <c:pt idx="3">
                  <c:v>4.67</c:v>
                </c:pt>
                <c:pt idx="4">
                  <c:v>4.67</c:v>
                </c:pt>
                <c:pt idx="5">
                  <c:v>4.33</c:v>
                </c:pt>
                <c:pt idx="6">
                  <c:v>3.67</c:v>
                </c:pt>
                <c:pt idx="7">
                  <c:v>4.67</c:v>
                </c:pt>
                <c:pt idx="8">
                  <c:v>4.67</c:v>
                </c:pt>
                <c:pt idx="9">
                  <c:v>4.67</c:v>
                </c:pt>
                <c:pt idx="10">
                  <c:v>4.67</c:v>
                </c:pt>
                <c:pt idx="11">
                  <c:v>4.67</c:v>
                </c:pt>
                <c:pt idx="12">
                  <c:v>4.33</c:v>
                </c:pt>
                <c:pt idx="13">
                  <c:v>4.67</c:v>
                </c:pt>
                <c:pt idx="14">
                  <c:v>4.33</c:v>
                </c:pt>
                <c:pt idx="15">
                  <c:v>4.67</c:v>
                </c:pt>
                <c:pt idx="16">
                  <c:v>4.67</c:v>
                </c:pt>
                <c:pt idx="17">
                  <c:v>4.67</c:v>
                </c:pt>
                <c:pt idx="18">
                  <c:v>4</c:v>
                </c:pt>
                <c:pt idx="19">
                  <c:v>4.67</c:v>
                </c:pt>
                <c:pt idx="20">
                  <c:v>4</c:v>
                </c:pt>
                <c:pt idx="21">
                  <c:v>4.33</c:v>
                </c:pt>
                <c:pt idx="22">
                  <c:v>4.67</c:v>
                </c:pt>
                <c:pt idx="23">
                  <c:v>4.67</c:v>
                </c:pt>
                <c:pt idx="24">
                  <c:v>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E6-4088-B552-712C0081D5A8}"/>
            </c:ext>
          </c:extLst>
        </c:ser>
        <c:ser>
          <c:idx val="1"/>
          <c:order val="1"/>
          <c:tx>
            <c:strRef>
              <c:f>'3Year7'!$I$31</c:f>
              <c:strCache>
                <c:ptCount val="1"/>
                <c:pt idx="0">
                  <c:v>Nivel de dificultad adecuado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'3Year7'!$G$32:$G$56</c:f>
              <c:strCache>
                <c:ptCount val="25"/>
                <c:pt idx="0">
                  <c:v>Q_01</c:v>
                </c:pt>
                <c:pt idx="1">
                  <c:v>Q_02</c:v>
                </c:pt>
                <c:pt idx="2">
                  <c:v>Q_03</c:v>
                </c:pt>
                <c:pt idx="3">
                  <c:v>Q_04</c:v>
                </c:pt>
                <c:pt idx="4">
                  <c:v>Q_05</c:v>
                </c:pt>
                <c:pt idx="5">
                  <c:v>Q_06</c:v>
                </c:pt>
                <c:pt idx="6">
                  <c:v>Q_07</c:v>
                </c:pt>
                <c:pt idx="7">
                  <c:v>Q_08</c:v>
                </c:pt>
                <c:pt idx="8">
                  <c:v>Q_09</c:v>
                </c:pt>
                <c:pt idx="9">
                  <c:v>Q_10</c:v>
                </c:pt>
                <c:pt idx="10">
                  <c:v>Q_11</c:v>
                </c:pt>
                <c:pt idx="11">
                  <c:v>Q_12</c:v>
                </c:pt>
                <c:pt idx="12">
                  <c:v>Q_13</c:v>
                </c:pt>
                <c:pt idx="13">
                  <c:v>Q_14</c:v>
                </c:pt>
                <c:pt idx="14">
                  <c:v>Q_15</c:v>
                </c:pt>
                <c:pt idx="15">
                  <c:v>Q_16</c:v>
                </c:pt>
                <c:pt idx="16">
                  <c:v>Q_17</c:v>
                </c:pt>
                <c:pt idx="17">
                  <c:v>Q_18</c:v>
                </c:pt>
                <c:pt idx="18">
                  <c:v>Q_19</c:v>
                </c:pt>
                <c:pt idx="19">
                  <c:v>Q_20</c:v>
                </c:pt>
                <c:pt idx="20">
                  <c:v>Q_21</c:v>
                </c:pt>
                <c:pt idx="21">
                  <c:v>Q_22</c:v>
                </c:pt>
                <c:pt idx="22">
                  <c:v>Q_23</c:v>
                </c:pt>
                <c:pt idx="23">
                  <c:v>Q_24</c:v>
                </c:pt>
                <c:pt idx="24">
                  <c:v>Q_25</c:v>
                </c:pt>
              </c:strCache>
            </c:strRef>
          </c:cat>
          <c:val>
            <c:numRef>
              <c:f>'3Year7'!$I$32:$I$56</c:f>
              <c:numCache>
                <c:formatCode>General</c:formatCode>
                <c:ptCount val="25"/>
                <c:pt idx="0">
                  <c:v>2.67</c:v>
                </c:pt>
                <c:pt idx="1">
                  <c:v>4.67</c:v>
                </c:pt>
                <c:pt idx="2">
                  <c:v>4.67</c:v>
                </c:pt>
                <c:pt idx="3">
                  <c:v>4.67</c:v>
                </c:pt>
                <c:pt idx="4">
                  <c:v>3.67</c:v>
                </c:pt>
                <c:pt idx="5">
                  <c:v>4</c:v>
                </c:pt>
                <c:pt idx="6">
                  <c:v>4.67</c:v>
                </c:pt>
                <c:pt idx="7">
                  <c:v>3.67</c:v>
                </c:pt>
                <c:pt idx="8">
                  <c:v>4</c:v>
                </c:pt>
                <c:pt idx="9">
                  <c:v>4.67</c:v>
                </c:pt>
                <c:pt idx="10">
                  <c:v>4.67</c:v>
                </c:pt>
                <c:pt idx="11">
                  <c:v>4.67</c:v>
                </c:pt>
                <c:pt idx="12">
                  <c:v>3.67</c:v>
                </c:pt>
                <c:pt idx="13">
                  <c:v>4.67</c:v>
                </c:pt>
                <c:pt idx="14">
                  <c:v>4.33</c:v>
                </c:pt>
                <c:pt idx="15">
                  <c:v>3.67</c:v>
                </c:pt>
                <c:pt idx="16">
                  <c:v>4.33</c:v>
                </c:pt>
                <c:pt idx="17">
                  <c:v>3.67</c:v>
                </c:pt>
                <c:pt idx="18">
                  <c:v>4.67</c:v>
                </c:pt>
                <c:pt idx="19">
                  <c:v>4.33</c:v>
                </c:pt>
                <c:pt idx="20">
                  <c:v>3.67</c:v>
                </c:pt>
                <c:pt idx="21">
                  <c:v>4</c:v>
                </c:pt>
                <c:pt idx="22">
                  <c:v>4.33</c:v>
                </c:pt>
                <c:pt idx="23">
                  <c:v>4.33</c:v>
                </c:pt>
                <c:pt idx="24">
                  <c:v>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E6-4088-B552-712C0081D5A8}"/>
            </c:ext>
          </c:extLst>
        </c:ser>
        <c:ser>
          <c:idx val="2"/>
          <c:order val="2"/>
          <c:tx>
            <c:strRef>
              <c:f>'3Year7'!$J$31</c:f>
              <c:strCache>
                <c:ptCount val="1"/>
                <c:pt idx="0">
                  <c:v>Calidad de los distractores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'3Year7'!$G$32:$G$56</c:f>
              <c:strCache>
                <c:ptCount val="25"/>
                <c:pt idx="0">
                  <c:v>Q_01</c:v>
                </c:pt>
                <c:pt idx="1">
                  <c:v>Q_02</c:v>
                </c:pt>
                <c:pt idx="2">
                  <c:v>Q_03</c:v>
                </c:pt>
                <c:pt idx="3">
                  <c:v>Q_04</c:v>
                </c:pt>
                <c:pt idx="4">
                  <c:v>Q_05</c:v>
                </c:pt>
                <c:pt idx="5">
                  <c:v>Q_06</c:v>
                </c:pt>
                <c:pt idx="6">
                  <c:v>Q_07</c:v>
                </c:pt>
                <c:pt idx="7">
                  <c:v>Q_08</c:v>
                </c:pt>
                <c:pt idx="8">
                  <c:v>Q_09</c:v>
                </c:pt>
                <c:pt idx="9">
                  <c:v>Q_10</c:v>
                </c:pt>
                <c:pt idx="10">
                  <c:v>Q_11</c:v>
                </c:pt>
                <c:pt idx="11">
                  <c:v>Q_12</c:v>
                </c:pt>
                <c:pt idx="12">
                  <c:v>Q_13</c:v>
                </c:pt>
                <c:pt idx="13">
                  <c:v>Q_14</c:v>
                </c:pt>
                <c:pt idx="14">
                  <c:v>Q_15</c:v>
                </c:pt>
                <c:pt idx="15">
                  <c:v>Q_16</c:v>
                </c:pt>
                <c:pt idx="16">
                  <c:v>Q_17</c:v>
                </c:pt>
                <c:pt idx="17">
                  <c:v>Q_18</c:v>
                </c:pt>
                <c:pt idx="18">
                  <c:v>Q_19</c:v>
                </c:pt>
                <c:pt idx="19">
                  <c:v>Q_20</c:v>
                </c:pt>
                <c:pt idx="20">
                  <c:v>Q_21</c:v>
                </c:pt>
                <c:pt idx="21">
                  <c:v>Q_22</c:v>
                </c:pt>
                <c:pt idx="22">
                  <c:v>Q_23</c:v>
                </c:pt>
                <c:pt idx="23">
                  <c:v>Q_24</c:v>
                </c:pt>
                <c:pt idx="24">
                  <c:v>Q_25</c:v>
                </c:pt>
              </c:strCache>
            </c:strRef>
          </c:cat>
          <c:val>
            <c:numRef>
              <c:f>'3Year7'!$J$32:$J$56</c:f>
              <c:numCache>
                <c:formatCode>General</c:formatCode>
                <c:ptCount val="25"/>
                <c:pt idx="0">
                  <c:v>4</c:v>
                </c:pt>
                <c:pt idx="1">
                  <c:v>4</c:v>
                </c:pt>
                <c:pt idx="2">
                  <c:v>4.67</c:v>
                </c:pt>
                <c:pt idx="3">
                  <c:v>4.67</c:v>
                </c:pt>
                <c:pt idx="4">
                  <c:v>3.67</c:v>
                </c:pt>
                <c:pt idx="5">
                  <c:v>4.33</c:v>
                </c:pt>
                <c:pt idx="6">
                  <c:v>4.67</c:v>
                </c:pt>
                <c:pt idx="7">
                  <c:v>4.33</c:v>
                </c:pt>
                <c:pt idx="8">
                  <c:v>4.33</c:v>
                </c:pt>
                <c:pt idx="9">
                  <c:v>4.33</c:v>
                </c:pt>
                <c:pt idx="10">
                  <c:v>4.67</c:v>
                </c:pt>
                <c:pt idx="11">
                  <c:v>4.67</c:v>
                </c:pt>
                <c:pt idx="12">
                  <c:v>4.33</c:v>
                </c:pt>
                <c:pt idx="13">
                  <c:v>4.67</c:v>
                </c:pt>
                <c:pt idx="14">
                  <c:v>4.33</c:v>
                </c:pt>
                <c:pt idx="15">
                  <c:v>4.67</c:v>
                </c:pt>
                <c:pt idx="16">
                  <c:v>4.67</c:v>
                </c:pt>
                <c:pt idx="17">
                  <c:v>4</c:v>
                </c:pt>
                <c:pt idx="18">
                  <c:v>4.67</c:v>
                </c:pt>
                <c:pt idx="19">
                  <c:v>4.33</c:v>
                </c:pt>
                <c:pt idx="20">
                  <c:v>3.33</c:v>
                </c:pt>
                <c:pt idx="21">
                  <c:v>4</c:v>
                </c:pt>
                <c:pt idx="22">
                  <c:v>4.67</c:v>
                </c:pt>
                <c:pt idx="23">
                  <c:v>4.67</c:v>
                </c:pt>
                <c:pt idx="24">
                  <c:v>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E6-4088-B552-712C0081D5A8}"/>
            </c:ext>
          </c:extLst>
        </c:ser>
        <c:ser>
          <c:idx val="3"/>
          <c:order val="3"/>
          <c:tx>
            <c:strRef>
              <c:f>'3Year7'!$K$31</c:f>
              <c:strCache>
                <c:ptCount val="1"/>
                <c:pt idx="0">
                  <c:v>Validez pedagógica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'3Year7'!$G$32:$G$56</c:f>
              <c:strCache>
                <c:ptCount val="25"/>
                <c:pt idx="0">
                  <c:v>Q_01</c:v>
                </c:pt>
                <c:pt idx="1">
                  <c:v>Q_02</c:v>
                </c:pt>
                <c:pt idx="2">
                  <c:v>Q_03</c:v>
                </c:pt>
                <c:pt idx="3">
                  <c:v>Q_04</c:v>
                </c:pt>
                <c:pt idx="4">
                  <c:v>Q_05</c:v>
                </c:pt>
                <c:pt idx="5">
                  <c:v>Q_06</c:v>
                </c:pt>
                <c:pt idx="6">
                  <c:v>Q_07</c:v>
                </c:pt>
                <c:pt idx="7">
                  <c:v>Q_08</c:v>
                </c:pt>
                <c:pt idx="8">
                  <c:v>Q_09</c:v>
                </c:pt>
                <c:pt idx="9">
                  <c:v>Q_10</c:v>
                </c:pt>
                <c:pt idx="10">
                  <c:v>Q_11</c:v>
                </c:pt>
                <c:pt idx="11">
                  <c:v>Q_12</c:v>
                </c:pt>
                <c:pt idx="12">
                  <c:v>Q_13</c:v>
                </c:pt>
                <c:pt idx="13">
                  <c:v>Q_14</c:v>
                </c:pt>
                <c:pt idx="14">
                  <c:v>Q_15</c:v>
                </c:pt>
                <c:pt idx="15">
                  <c:v>Q_16</c:v>
                </c:pt>
                <c:pt idx="16">
                  <c:v>Q_17</c:v>
                </c:pt>
                <c:pt idx="17">
                  <c:v>Q_18</c:v>
                </c:pt>
                <c:pt idx="18">
                  <c:v>Q_19</c:v>
                </c:pt>
                <c:pt idx="19">
                  <c:v>Q_20</c:v>
                </c:pt>
                <c:pt idx="20">
                  <c:v>Q_21</c:v>
                </c:pt>
                <c:pt idx="21">
                  <c:v>Q_22</c:v>
                </c:pt>
                <c:pt idx="22">
                  <c:v>Q_23</c:v>
                </c:pt>
                <c:pt idx="23">
                  <c:v>Q_24</c:v>
                </c:pt>
                <c:pt idx="24">
                  <c:v>Q_25</c:v>
                </c:pt>
              </c:strCache>
            </c:strRef>
          </c:cat>
          <c:val>
            <c:numRef>
              <c:f>'3Year7'!$K$32:$K$56</c:f>
              <c:numCache>
                <c:formatCode>General</c:formatCode>
                <c:ptCount val="25"/>
                <c:pt idx="0">
                  <c:v>3.67</c:v>
                </c:pt>
                <c:pt idx="1">
                  <c:v>4.33</c:v>
                </c:pt>
                <c:pt idx="2">
                  <c:v>4.67</c:v>
                </c:pt>
                <c:pt idx="3">
                  <c:v>4.67</c:v>
                </c:pt>
                <c:pt idx="4">
                  <c:v>4</c:v>
                </c:pt>
                <c:pt idx="5">
                  <c:v>4.67</c:v>
                </c:pt>
                <c:pt idx="6">
                  <c:v>4</c:v>
                </c:pt>
                <c:pt idx="7">
                  <c:v>4.33</c:v>
                </c:pt>
                <c:pt idx="8">
                  <c:v>4.33</c:v>
                </c:pt>
                <c:pt idx="9">
                  <c:v>4.67</c:v>
                </c:pt>
                <c:pt idx="10">
                  <c:v>4.67</c:v>
                </c:pt>
                <c:pt idx="11">
                  <c:v>4.67</c:v>
                </c:pt>
                <c:pt idx="12">
                  <c:v>4.33</c:v>
                </c:pt>
                <c:pt idx="13">
                  <c:v>4.67</c:v>
                </c:pt>
                <c:pt idx="14">
                  <c:v>4.67</c:v>
                </c:pt>
                <c:pt idx="15">
                  <c:v>3.67</c:v>
                </c:pt>
                <c:pt idx="16">
                  <c:v>4.67</c:v>
                </c:pt>
                <c:pt idx="17">
                  <c:v>4.33</c:v>
                </c:pt>
                <c:pt idx="18">
                  <c:v>4.67</c:v>
                </c:pt>
                <c:pt idx="19">
                  <c:v>4.67</c:v>
                </c:pt>
                <c:pt idx="20">
                  <c:v>3.67</c:v>
                </c:pt>
                <c:pt idx="21">
                  <c:v>3.67</c:v>
                </c:pt>
                <c:pt idx="22">
                  <c:v>4.67</c:v>
                </c:pt>
                <c:pt idx="23">
                  <c:v>4.67</c:v>
                </c:pt>
                <c:pt idx="24">
                  <c:v>4.67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5E6-4088-B552-712C0081D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07491232"/>
        <c:axId val="707498432"/>
      </c:barChart>
      <c:lineChart>
        <c:grouping val="standard"/>
        <c:varyColors val="0"/>
        <c:ser>
          <c:idx val="4"/>
          <c:order val="4"/>
          <c:tx>
            <c:v>Media</c:v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val>
            <c:numRef>
              <c:f>'3Year7'!$L$32:$L$56</c:f>
              <c:numCache>
                <c:formatCode>General</c:formatCode>
                <c:ptCount val="25"/>
                <c:pt idx="0">
                  <c:v>3.5024999999999999</c:v>
                </c:pt>
                <c:pt idx="1">
                  <c:v>4.4175000000000004</c:v>
                </c:pt>
                <c:pt idx="2">
                  <c:v>4.67</c:v>
                </c:pt>
                <c:pt idx="3">
                  <c:v>4.67</c:v>
                </c:pt>
                <c:pt idx="4">
                  <c:v>4.0024999999999995</c:v>
                </c:pt>
                <c:pt idx="5">
                  <c:v>4.3324999999999996</c:v>
                </c:pt>
                <c:pt idx="6">
                  <c:v>4.2524999999999995</c:v>
                </c:pt>
                <c:pt idx="7">
                  <c:v>4.25</c:v>
                </c:pt>
                <c:pt idx="8">
                  <c:v>4.3324999999999996</c:v>
                </c:pt>
                <c:pt idx="9">
                  <c:v>4.585</c:v>
                </c:pt>
                <c:pt idx="10">
                  <c:v>4.67</c:v>
                </c:pt>
                <c:pt idx="11">
                  <c:v>4.67</c:v>
                </c:pt>
                <c:pt idx="12">
                  <c:v>4.165</c:v>
                </c:pt>
                <c:pt idx="13">
                  <c:v>4.67</c:v>
                </c:pt>
                <c:pt idx="14">
                  <c:v>4.415</c:v>
                </c:pt>
                <c:pt idx="15">
                  <c:v>4.17</c:v>
                </c:pt>
                <c:pt idx="16">
                  <c:v>4.585</c:v>
                </c:pt>
                <c:pt idx="17">
                  <c:v>4.1675000000000004</c:v>
                </c:pt>
                <c:pt idx="18">
                  <c:v>4.5024999999999995</c:v>
                </c:pt>
                <c:pt idx="19">
                  <c:v>4.5</c:v>
                </c:pt>
                <c:pt idx="20">
                  <c:v>3.6675</c:v>
                </c:pt>
                <c:pt idx="21">
                  <c:v>4</c:v>
                </c:pt>
                <c:pt idx="22">
                  <c:v>4.585</c:v>
                </c:pt>
                <c:pt idx="23">
                  <c:v>4.585</c:v>
                </c:pt>
                <c:pt idx="24">
                  <c:v>4.67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5E6-4088-B552-712C0081D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07491232"/>
        <c:axId val="707498432"/>
      </c:lineChart>
      <c:catAx>
        <c:axId val="707491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7498432"/>
        <c:crosses val="autoZero"/>
        <c:auto val="1"/>
        <c:lblAlgn val="ctr"/>
        <c:lblOffset val="100"/>
        <c:noMultiLvlLbl val="0"/>
      </c:catAx>
      <c:valAx>
        <c:axId val="707498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707491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Calidad preguntas ChatGPT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ChatGPT!$A$32</c:f>
              <c:strCache>
                <c:ptCount val="1"/>
                <c:pt idx="0">
                  <c:v>Cadenas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ChatGPT!$B$31:$F$31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ChatGPT!$B$32:$F$32</c:f>
              <c:numCache>
                <c:formatCode>General</c:formatCode>
                <c:ptCount val="5"/>
                <c:pt idx="0">
                  <c:v>4.2</c:v>
                </c:pt>
                <c:pt idx="1">
                  <c:v>4.2</c:v>
                </c:pt>
                <c:pt idx="2">
                  <c:v>3.7</c:v>
                </c:pt>
                <c:pt idx="3">
                  <c:v>4.0999999999999996</c:v>
                </c:pt>
                <c:pt idx="4">
                  <c:v>4.0500000000000007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08-409E-A4C3-71BDA7584568}"/>
            </c:ext>
          </c:extLst>
        </c:ser>
        <c:ser>
          <c:idx val="1"/>
          <c:order val="1"/>
          <c:tx>
            <c:strRef>
              <c:f>ChatGPT!$A$33</c:f>
              <c:strCache>
                <c:ptCount val="1"/>
                <c:pt idx="0">
                  <c:v>Diccionarios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ChatGPT!$B$31:$F$31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ChatGPT!$B$33:$F$33</c:f>
              <c:numCache>
                <c:formatCode>General</c:formatCode>
                <c:ptCount val="5"/>
                <c:pt idx="0">
                  <c:v>4</c:v>
                </c:pt>
                <c:pt idx="1">
                  <c:v>3.8</c:v>
                </c:pt>
                <c:pt idx="2">
                  <c:v>3.9</c:v>
                </c:pt>
                <c:pt idx="3">
                  <c:v>3.7</c:v>
                </c:pt>
                <c:pt idx="4">
                  <c:v>3.8499999999999996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08-409E-A4C3-71BDA7584568}"/>
            </c:ext>
          </c:extLst>
        </c:ser>
        <c:ser>
          <c:idx val="2"/>
          <c:order val="2"/>
          <c:tx>
            <c:strRef>
              <c:f>ChatGPT!$A$34</c:f>
              <c:strCache>
                <c:ptCount val="1"/>
                <c:pt idx="0">
                  <c:v>Expersiones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ChatGPT!$B$31:$F$31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ChatGPT!$B$34:$F$34</c:f>
              <c:numCache>
                <c:formatCode>General</c:formatCode>
                <c:ptCount val="5"/>
                <c:pt idx="0">
                  <c:v>4.2</c:v>
                </c:pt>
                <c:pt idx="1">
                  <c:v>3.7</c:v>
                </c:pt>
                <c:pt idx="2">
                  <c:v>4</c:v>
                </c:pt>
                <c:pt idx="3">
                  <c:v>4</c:v>
                </c:pt>
                <c:pt idx="4">
                  <c:v>3.9750000000000001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008-409E-A4C3-71BDA7584568}"/>
            </c:ext>
          </c:extLst>
        </c:ser>
        <c:ser>
          <c:idx val="3"/>
          <c:order val="3"/>
          <c:tx>
            <c:strRef>
              <c:f>ChatGPT!$A$35</c:f>
              <c:strCache>
                <c:ptCount val="1"/>
                <c:pt idx="0">
                  <c:v>Listas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ChatGPT!$B$31:$F$31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ChatGPT!$B$35:$F$35</c:f>
              <c:numCache>
                <c:formatCode>General</c:formatCode>
                <c:ptCount val="5"/>
                <c:pt idx="0">
                  <c:v>4</c:v>
                </c:pt>
                <c:pt idx="1">
                  <c:v>3.4</c:v>
                </c:pt>
                <c:pt idx="2">
                  <c:v>3.8</c:v>
                </c:pt>
                <c:pt idx="3">
                  <c:v>3.8</c:v>
                </c:pt>
                <c:pt idx="4">
                  <c:v>3.75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008-409E-A4C3-71BDA7584568}"/>
            </c:ext>
          </c:extLst>
        </c:ser>
        <c:ser>
          <c:idx val="4"/>
          <c:order val="4"/>
          <c:tx>
            <c:strRef>
              <c:f>ChatGPT!$A$36</c:f>
              <c:strCache>
                <c:ptCount val="1"/>
                <c:pt idx="0">
                  <c:v>Utilidades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ChatGPT!$B$31:$F$31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ChatGPT!$B$36:$F$36</c:f>
              <c:numCache>
                <c:formatCode>General</c:formatCode>
                <c:ptCount val="5"/>
                <c:pt idx="0">
                  <c:v>4.4000000000000004</c:v>
                </c:pt>
                <c:pt idx="1">
                  <c:v>3.7</c:v>
                </c:pt>
                <c:pt idx="2">
                  <c:v>4.0999999999999996</c:v>
                </c:pt>
                <c:pt idx="3">
                  <c:v>4.3</c:v>
                </c:pt>
                <c:pt idx="4">
                  <c:v>4.125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008-409E-A4C3-71BDA7584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295840"/>
        <c:axId val="874291160"/>
      </c:barChart>
      <c:lineChart>
        <c:grouping val="standard"/>
        <c:varyColors val="0"/>
        <c:ser>
          <c:idx val="5"/>
          <c:order val="5"/>
          <c:tx>
            <c:strRef>
              <c:f>ChatGPT!$A$37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ChatGPT!$B$31:$F$31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ChatGPT!$B$37:$F$37</c:f>
              <c:numCache>
                <c:formatCode>General</c:formatCode>
                <c:ptCount val="5"/>
                <c:pt idx="0">
                  <c:v>4.1599999999999993</c:v>
                </c:pt>
                <c:pt idx="1">
                  <c:v>3.7600000000000002</c:v>
                </c:pt>
                <c:pt idx="2">
                  <c:v>3.9</c:v>
                </c:pt>
                <c:pt idx="3">
                  <c:v>3.9800000000000004</c:v>
                </c:pt>
                <c:pt idx="4">
                  <c:v>3.95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08-409E-A4C3-71BDA7584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295840"/>
        <c:axId val="874291160"/>
      </c:lineChart>
      <c:catAx>
        <c:axId val="8742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74291160"/>
        <c:crosses val="autoZero"/>
        <c:auto val="1"/>
        <c:lblAlgn val="ctr"/>
        <c:lblOffset val="100"/>
        <c:noMultiLvlLbl val="0"/>
      </c:catAx>
      <c:valAx>
        <c:axId val="87429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742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Calidad preguntas Claude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Claude!$A$32</c:f>
              <c:strCache>
                <c:ptCount val="1"/>
                <c:pt idx="0">
                  <c:v>Cadenas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Claude!$B$31:$F$31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Claude!$B$32:$F$32</c:f>
              <c:numCache>
                <c:formatCode>General</c:formatCode>
                <c:ptCount val="5"/>
                <c:pt idx="0">
                  <c:v>4.4000000000000004</c:v>
                </c:pt>
                <c:pt idx="1">
                  <c:v>4.0999999999999996</c:v>
                </c:pt>
                <c:pt idx="2">
                  <c:v>4.3</c:v>
                </c:pt>
                <c:pt idx="3">
                  <c:v>4.0999999999999996</c:v>
                </c:pt>
                <c:pt idx="4">
                  <c:v>4.2249999999999996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040-4CA9-8C44-71FB2A560A70}"/>
            </c:ext>
          </c:extLst>
        </c:ser>
        <c:ser>
          <c:idx val="1"/>
          <c:order val="1"/>
          <c:tx>
            <c:strRef>
              <c:f>Claude!$A$33</c:f>
              <c:strCache>
                <c:ptCount val="1"/>
                <c:pt idx="0">
                  <c:v>Diccionarios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Claude!$B$31:$F$31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Claude!$B$33:$F$33</c:f>
              <c:numCache>
                <c:formatCode>General</c:formatCode>
                <c:ptCount val="5"/>
                <c:pt idx="0">
                  <c:v>4.2</c:v>
                </c:pt>
                <c:pt idx="1">
                  <c:v>3.7</c:v>
                </c:pt>
                <c:pt idx="2">
                  <c:v>3.8</c:v>
                </c:pt>
                <c:pt idx="3">
                  <c:v>4.2</c:v>
                </c:pt>
                <c:pt idx="4">
                  <c:v>3.9749999999999996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040-4CA9-8C44-71FB2A560A70}"/>
            </c:ext>
          </c:extLst>
        </c:ser>
        <c:ser>
          <c:idx val="2"/>
          <c:order val="2"/>
          <c:tx>
            <c:strRef>
              <c:f>Claude!$A$34</c:f>
              <c:strCache>
                <c:ptCount val="1"/>
                <c:pt idx="0">
                  <c:v>Expersiones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Claude!$B$31:$F$31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Claude!$B$34:$F$34</c:f>
              <c:numCache>
                <c:formatCode>General</c:formatCode>
                <c:ptCount val="5"/>
                <c:pt idx="0">
                  <c:v>4.3</c:v>
                </c:pt>
                <c:pt idx="1">
                  <c:v>4</c:v>
                </c:pt>
                <c:pt idx="2">
                  <c:v>4.2</c:v>
                </c:pt>
                <c:pt idx="3">
                  <c:v>4.3</c:v>
                </c:pt>
                <c:pt idx="4">
                  <c:v>4.2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040-4CA9-8C44-71FB2A560A70}"/>
            </c:ext>
          </c:extLst>
        </c:ser>
        <c:ser>
          <c:idx val="3"/>
          <c:order val="3"/>
          <c:tx>
            <c:strRef>
              <c:f>Claude!$A$35</c:f>
              <c:strCache>
                <c:ptCount val="1"/>
                <c:pt idx="0">
                  <c:v>Listas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Claude!$B$31:$F$31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Claude!$B$35:$F$35</c:f>
              <c:numCache>
                <c:formatCode>General</c:formatCode>
                <c:ptCount val="5"/>
                <c:pt idx="0">
                  <c:v>3.8</c:v>
                </c:pt>
                <c:pt idx="1">
                  <c:v>3.3</c:v>
                </c:pt>
                <c:pt idx="2">
                  <c:v>3.9</c:v>
                </c:pt>
                <c:pt idx="3">
                  <c:v>3.5</c:v>
                </c:pt>
                <c:pt idx="4">
                  <c:v>3.625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040-4CA9-8C44-71FB2A560A70}"/>
            </c:ext>
          </c:extLst>
        </c:ser>
        <c:ser>
          <c:idx val="4"/>
          <c:order val="4"/>
          <c:tx>
            <c:strRef>
              <c:f>Claude!$A$36</c:f>
              <c:strCache>
                <c:ptCount val="1"/>
                <c:pt idx="0">
                  <c:v>Utilidades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Claude!$B$31:$F$31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Claude!$B$36:$F$36</c:f>
              <c:numCache>
                <c:formatCode>General</c:formatCode>
                <c:ptCount val="5"/>
                <c:pt idx="0">
                  <c:v>4.2</c:v>
                </c:pt>
                <c:pt idx="1">
                  <c:v>3.8</c:v>
                </c:pt>
                <c:pt idx="2">
                  <c:v>4.3</c:v>
                </c:pt>
                <c:pt idx="3">
                  <c:v>4.4000000000000004</c:v>
                </c:pt>
                <c:pt idx="4">
                  <c:v>4.1750000000000007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040-4CA9-8C44-71FB2A560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295840"/>
        <c:axId val="874291160"/>
      </c:barChart>
      <c:lineChart>
        <c:grouping val="standard"/>
        <c:varyColors val="0"/>
        <c:ser>
          <c:idx val="5"/>
          <c:order val="5"/>
          <c:tx>
            <c:strRef>
              <c:f>Claude!$A$37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Claude!$B$31:$F$31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Claude!$B$37:$F$37</c:f>
              <c:numCache>
                <c:formatCode>General</c:formatCode>
                <c:ptCount val="5"/>
                <c:pt idx="0">
                  <c:v>4.1800000000000006</c:v>
                </c:pt>
                <c:pt idx="1">
                  <c:v>3.7800000000000002</c:v>
                </c:pt>
                <c:pt idx="2">
                  <c:v>4.0999999999999996</c:v>
                </c:pt>
                <c:pt idx="3">
                  <c:v>4.0999999999999996</c:v>
                </c:pt>
                <c:pt idx="4">
                  <c:v>4.04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40-4CA9-8C44-71FB2A560A7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295840"/>
        <c:axId val="874291160"/>
      </c:lineChart>
      <c:catAx>
        <c:axId val="8742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74291160"/>
        <c:crosses val="autoZero"/>
        <c:auto val="1"/>
        <c:lblAlgn val="ctr"/>
        <c:lblOffset val="100"/>
        <c:noMultiLvlLbl val="0"/>
      </c:catAx>
      <c:valAx>
        <c:axId val="87429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742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Calidad preguntas Gemini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Gemini!$A$32</c:f>
              <c:strCache>
                <c:ptCount val="1"/>
                <c:pt idx="0">
                  <c:v>Cadenas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Gemini!$B$31:$F$31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Gemini!$B$32:$F$32</c:f>
              <c:numCache>
                <c:formatCode>General</c:formatCode>
                <c:ptCount val="5"/>
                <c:pt idx="0">
                  <c:v>3.8</c:v>
                </c:pt>
                <c:pt idx="1">
                  <c:v>3.2</c:v>
                </c:pt>
                <c:pt idx="2">
                  <c:v>3.7</c:v>
                </c:pt>
                <c:pt idx="3">
                  <c:v>3.4</c:v>
                </c:pt>
                <c:pt idx="4">
                  <c:v>3.5249999999999999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14A-49E5-8026-4BB9B89E0FCA}"/>
            </c:ext>
          </c:extLst>
        </c:ser>
        <c:ser>
          <c:idx val="1"/>
          <c:order val="1"/>
          <c:tx>
            <c:strRef>
              <c:f>Gemini!$A$33</c:f>
              <c:strCache>
                <c:ptCount val="1"/>
                <c:pt idx="0">
                  <c:v>Diccionarios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Gemini!$B$31:$F$31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Gemini!$B$33:$F$33</c:f>
              <c:numCache>
                <c:formatCode>General</c:formatCode>
                <c:ptCount val="5"/>
                <c:pt idx="0">
                  <c:v>4.4000000000000004</c:v>
                </c:pt>
                <c:pt idx="1">
                  <c:v>4</c:v>
                </c:pt>
                <c:pt idx="2">
                  <c:v>4.3</c:v>
                </c:pt>
                <c:pt idx="3">
                  <c:v>4.4000000000000004</c:v>
                </c:pt>
                <c:pt idx="4">
                  <c:v>4.2750000000000004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14A-49E5-8026-4BB9B89E0FCA}"/>
            </c:ext>
          </c:extLst>
        </c:ser>
        <c:ser>
          <c:idx val="2"/>
          <c:order val="2"/>
          <c:tx>
            <c:strRef>
              <c:f>Gemini!$A$34</c:f>
              <c:strCache>
                <c:ptCount val="1"/>
                <c:pt idx="0">
                  <c:v>Expersiones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Gemini!$B$31:$F$31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Gemini!$B$34:$F$34</c:f>
              <c:numCache>
                <c:formatCode>General</c:formatCode>
                <c:ptCount val="5"/>
                <c:pt idx="0">
                  <c:v>3.9</c:v>
                </c:pt>
                <c:pt idx="1">
                  <c:v>3.6</c:v>
                </c:pt>
                <c:pt idx="2">
                  <c:v>3.7</c:v>
                </c:pt>
                <c:pt idx="3">
                  <c:v>3.6</c:v>
                </c:pt>
                <c:pt idx="4">
                  <c:v>3.6999999999999997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14A-49E5-8026-4BB9B89E0FCA}"/>
            </c:ext>
          </c:extLst>
        </c:ser>
        <c:ser>
          <c:idx val="3"/>
          <c:order val="3"/>
          <c:tx>
            <c:strRef>
              <c:f>Gemini!$A$35</c:f>
              <c:strCache>
                <c:ptCount val="1"/>
                <c:pt idx="0">
                  <c:v>Listas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Gemini!$B$31:$F$31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Gemini!$B$35:$F$35</c:f>
              <c:numCache>
                <c:formatCode>General</c:formatCode>
                <c:ptCount val="5"/>
                <c:pt idx="0">
                  <c:v>3.5</c:v>
                </c:pt>
                <c:pt idx="1">
                  <c:v>3.5</c:v>
                </c:pt>
                <c:pt idx="2">
                  <c:v>3.6</c:v>
                </c:pt>
                <c:pt idx="3">
                  <c:v>3.8</c:v>
                </c:pt>
                <c:pt idx="4">
                  <c:v>3.5999999999999996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4A-49E5-8026-4BB9B89E0FCA}"/>
            </c:ext>
          </c:extLst>
        </c:ser>
        <c:ser>
          <c:idx val="4"/>
          <c:order val="4"/>
          <c:tx>
            <c:strRef>
              <c:f>Gemini!$A$36</c:f>
              <c:strCache>
                <c:ptCount val="1"/>
                <c:pt idx="0">
                  <c:v>Utilidades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Gemini!$B$31:$F$31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Gemini!$B$36:$F$36</c:f>
              <c:numCache>
                <c:formatCode>General</c:formatCode>
                <c:ptCount val="5"/>
                <c:pt idx="0">
                  <c:v>4</c:v>
                </c:pt>
                <c:pt idx="1">
                  <c:v>3.9</c:v>
                </c:pt>
                <c:pt idx="2">
                  <c:v>3.8</c:v>
                </c:pt>
                <c:pt idx="3">
                  <c:v>4</c:v>
                </c:pt>
                <c:pt idx="4">
                  <c:v>3.9249999999999998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14A-49E5-8026-4BB9B89E0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295840"/>
        <c:axId val="874291160"/>
      </c:barChart>
      <c:lineChart>
        <c:grouping val="standard"/>
        <c:varyColors val="0"/>
        <c:ser>
          <c:idx val="5"/>
          <c:order val="5"/>
          <c:tx>
            <c:strRef>
              <c:f>Gemini!$A$37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Gemini!$B$31:$F$31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Gemini!$B$37:$F$37</c:f>
              <c:numCache>
                <c:formatCode>General</c:formatCode>
                <c:ptCount val="5"/>
                <c:pt idx="0">
                  <c:v>3.9200000000000004</c:v>
                </c:pt>
                <c:pt idx="1">
                  <c:v>3.6399999999999997</c:v>
                </c:pt>
                <c:pt idx="2">
                  <c:v>3.8199999999999994</c:v>
                </c:pt>
                <c:pt idx="3">
                  <c:v>3.84</c:v>
                </c:pt>
                <c:pt idx="4">
                  <c:v>3.8049999999999997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14A-49E5-8026-4BB9B89E0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295840"/>
        <c:axId val="874291160"/>
      </c:lineChart>
      <c:catAx>
        <c:axId val="8742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74291160"/>
        <c:crosses val="autoZero"/>
        <c:auto val="1"/>
        <c:lblAlgn val="ctr"/>
        <c:lblOffset val="100"/>
        <c:noMultiLvlLbl val="0"/>
      </c:catAx>
      <c:valAx>
        <c:axId val="87429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742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Calidad preguntas Mistral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Mistral!$A$32</c:f>
              <c:strCache>
                <c:ptCount val="1"/>
                <c:pt idx="0">
                  <c:v>Cadenas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Mistral!$B$31:$F$31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Mistral!$B$32:$F$32</c:f>
              <c:numCache>
                <c:formatCode>General</c:formatCode>
                <c:ptCount val="5"/>
                <c:pt idx="0">
                  <c:v>4.3</c:v>
                </c:pt>
                <c:pt idx="1">
                  <c:v>4.3</c:v>
                </c:pt>
                <c:pt idx="2">
                  <c:v>3.9</c:v>
                </c:pt>
                <c:pt idx="3">
                  <c:v>4.2</c:v>
                </c:pt>
                <c:pt idx="4">
                  <c:v>4.1749999999999998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DB-4D94-89DB-5AB32D850617}"/>
            </c:ext>
          </c:extLst>
        </c:ser>
        <c:ser>
          <c:idx val="1"/>
          <c:order val="1"/>
          <c:tx>
            <c:strRef>
              <c:f>Mistral!$A$33</c:f>
              <c:strCache>
                <c:ptCount val="1"/>
                <c:pt idx="0">
                  <c:v>Diccionarios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Mistral!$B$31:$F$31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Mistral!$B$33:$F$33</c:f>
              <c:numCache>
                <c:formatCode>General</c:formatCode>
                <c:ptCount val="5"/>
                <c:pt idx="0">
                  <c:v>4.0999999999999996</c:v>
                </c:pt>
                <c:pt idx="1">
                  <c:v>3.4</c:v>
                </c:pt>
                <c:pt idx="2">
                  <c:v>3.7</c:v>
                </c:pt>
                <c:pt idx="3">
                  <c:v>3.7</c:v>
                </c:pt>
                <c:pt idx="4">
                  <c:v>3.7249999999999996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DB-4D94-89DB-5AB32D850617}"/>
            </c:ext>
          </c:extLst>
        </c:ser>
        <c:ser>
          <c:idx val="2"/>
          <c:order val="2"/>
          <c:tx>
            <c:strRef>
              <c:f>Mistral!$A$34</c:f>
              <c:strCache>
                <c:ptCount val="1"/>
                <c:pt idx="0">
                  <c:v>Expersiones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Mistral!$B$31:$F$31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Mistral!$B$34:$F$34</c:f>
              <c:numCache>
                <c:formatCode>General</c:formatCode>
                <c:ptCount val="5"/>
                <c:pt idx="0">
                  <c:v>4.4000000000000004</c:v>
                </c:pt>
                <c:pt idx="1">
                  <c:v>4.3</c:v>
                </c:pt>
                <c:pt idx="2">
                  <c:v>4.0999999999999996</c:v>
                </c:pt>
                <c:pt idx="3">
                  <c:v>4.4000000000000004</c:v>
                </c:pt>
                <c:pt idx="4">
                  <c:v>4.3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6DB-4D94-89DB-5AB32D850617}"/>
            </c:ext>
          </c:extLst>
        </c:ser>
        <c:ser>
          <c:idx val="3"/>
          <c:order val="3"/>
          <c:tx>
            <c:strRef>
              <c:f>Mistral!$A$35</c:f>
              <c:strCache>
                <c:ptCount val="1"/>
                <c:pt idx="0">
                  <c:v>Listas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Mistral!$B$31:$F$31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Mistral!$B$35:$F$35</c:f>
              <c:numCache>
                <c:formatCode>General</c:formatCode>
                <c:ptCount val="5"/>
                <c:pt idx="0">
                  <c:v>3.9</c:v>
                </c:pt>
                <c:pt idx="1">
                  <c:v>3.5</c:v>
                </c:pt>
                <c:pt idx="2">
                  <c:v>3.6</c:v>
                </c:pt>
                <c:pt idx="3">
                  <c:v>3.8</c:v>
                </c:pt>
                <c:pt idx="4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6DB-4D94-89DB-5AB32D850617}"/>
            </c:ext>
          </c:extLst>
        </c:ser>
        <c:ser>
          <c:idx val="4"/>
          <c:order val="4"/>
          <c:tx>
            <c:strRef>
              <c:f>Mistral!$A$36</c:f>
              <c:strCache>
                <c:ptCount val="1"/>
                <c:pt idx="0">
                  <c:v>Utilidades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Mistral!$B$31:$F$31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Mistral!$B$36:$F$36</c:f>
              <c:numCache>
                <c:formatCode>General</c:formatCode>
                <c:ptCount val="5"/>
                <c:pt idx="0">
                  <c:v>3.8</c:v>
                </c:pt>
                <c:pt idx="1">
                  <c:v>3.5</c:v>
                </c:pt>
                <c:pt idx="2">
                  <c:v>3.8</c:v>
                </c:pt>
                <c:pt idx="3">
                  <c:v>3.7</c:v>
                </c:pt>
                <c:pt idx="4">
                  <c:v>3.7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6DB-4D94-89DB-5AB32D850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295840"/>
        <c:axId val="874291160"/>
      </c:barChart>
      <c:lineChart>
        <c:grouping val="standard"/>
        <c:varyColors val="0"/>
        <c:ser>
          <c:idx val="5"/>
          <c:order val="5"/>
          <c:tx>
            <c:strRef>
              <c:f>Mistral!$A$37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Mistral!$B$31:$F$31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Mistral!$B$37:$F$37</c:f>
              <c:numCache>
                <c:formatCode>General</c:formatCode>
                <c:ptCount val="5"/>
                <c:pt idx="0">
                  <c:v>4.0999999999999996</c:v>
                </c:pt>
                <c:pt idx="1">
                  <c:v>3.8</c:v>
                </c:pt>
                <c:pt idx="2">
                  <c:v>3.8199999999999994</c:v>
                </c:pt>
                <c:pt idx="3">
                  <c:v>3.96</c:v>
                </c:pt>
                <c:pt idx="4">
                  <c:v>3.9199999999999995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6DB-4D94-89DB-5AB32D850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295840"/>
        <c:axId val="874291160"/>
      </c:lineChart>
      <c:catAx>
        <c:axId val="8742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74291160"/>
        <c:crosses val="autoZero"/>
        <c:auto val="1"/>
        <c:lblAlgn val="ctr"/>
        <c:lblOffset val="100"/>
        <c:noMultiLvlLbl val="0"/>
      </c:catAx>
      <c:valAx>
        <c:axId val="87429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742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ES"/>
              <a:t>Calidad preguntas Qwen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Qwen!$A$32</c:f>
              <c:strCache>
                <c:ptCount val="1"/>
                <c:pt idx="0">
                  <c:v>Cadenas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Qwen!$B$31:$F$31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Qwen!$B$32:$F$32</c:f>
              <c:numCache>
                <c:formatCode>General</c:formatCode>
                <c:ptCount val="5"/>
                <c:pt idx="0">
                  <c:v>3.7</c:v>
                </c:pt>
                <c:pt idx="1">
                  <c:v>3</c:v>
                </c:pt>
                <c:pt idx="2">
                  <c:v>3.1</c:v>
                </c:pt>
                <c:pt idx="3">
                  <c:v>3.2</c:v>
                </c:pt>
                <c:pt idx="4">
                  <c:v>3.25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D10-4180-8073-983E5C3A9982}"/>
            </c:ext>
          </c:extLst>
        </c:ser>
        <c:ser>
          <c:idx val="1"/>
          <c:order val="1"/>
          <c:tx>
            <c:strRef>
              <c:f>Qwen!$A$33</c:f>
              <c:strCache>
                <c:ptCount val="1"/>
                <c:pt idx="0">
                  <c:v>Diccionarios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Qwen!$B$31:$F$31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Qwen!$B$33:$F$33</c:f>
              <c:numCache>
                <c:formatCode>General</c:formatCode>
                <c:ptCount val="5"/>
                <c:pt idx="0">
                  <c:v>4</c:v>
                </c:pt>
                <c:pt idx="1">
                  <c:v>3.7</c:v>
                </c:pt>
                <c:pt idx="2">
                  <c:v>3.9</c:v>
                </c:pt>
                <c:pt idx="3">
                  <c:v>4.0999999999999996</c:v>
                </c:pt>
                <c:pt idx="4">
                  <c:v>3.9249999999999998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D10-4180-8073-983E5C3A9982}"/>
            </c:ext>
          </c:extLst>
        </c:ser>
        <c:ser>
          <c:idx val="2"/>
          <c:order val="2"/>
          <c:tx>
            <c:strRef>
              <c:f>Qwen!$A$34</c:f>
              <c:strCache>
                <c:ptCount val="1"/>
                <c:pt idx="0">
                  <c:v>Expersiones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Qwen!$B$31:$F$31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Qwen!$B$34:$F$34</c:f>
              <c:numCache>
                <c:formatCode>General</c:formatCode>
                <c:ptCount val="5"/>
                <c:pt idx="0">
                  <c:v>4</c:v>
                </c:pt>
                <c:pt idx="1">
                  <c:v>3.7</c:v>
                </c:pt>
                <c:pt idx="2">
                  <c:v>3.6</c:v>
                </c:pt>
                <c:pt idx="3">
                  <c:v>4.3</c:v>
                </c:pt>
                <c:pt idx="4">
                  <c:v>3.9000000000000004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D10-4180-8073-983E5C3A9982}"/>
            </c:ext>
          </c:extLst>
        </c:ser>
        <c:ser>
          <c:idx val="3"/>
          <c:order val="3"/>
          <c:tx>
            <c:strRef>
              <c:f>Qwen!$A$35</c:f>
              <c:strCache>
                <c:ptCount val="1"/>
                <c:pt idx="0">
                  <c:v>Listas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Qwen!$B$31:$F$31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Qwen!$B$35:$F$35</c:f>
              <c:numCache>
                <c:formatCode>General</c:formatCode>
                <c:ptCount val="5"/>
                <c:pt idx="0">
                  <c:v>4.4000000000000004</c:v>
                </c:pt>
                <c:pt idx="1">
                  <c:v>3.8</c:v>
                </c:pt>
                <c:pt idx="2">
                  <c:v>3.9</c:v>
                </c:pt>
                <c:pt idx="3">
                  <c:v>4.2</c:v>
                </c:pt>
                <c:pt idx="4">
                  <c:v>4.0750000000000002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10-4180-8073-983E5C3A9982}"/>
            </c:ext>
          </c:extLst>
        </c:ser>
        <c:ser>
          <c:idx val="4"/>
          <c:order val="4"/>
          <c:tx>
            <c:strRef>
              <c:f>Qwen!$A$36</c:f>
              <c:strCache>
                <c:ptCount val="1"/>
                <c:pt idx="0">
                  <c:v>Utilidades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Qwen!$B$31:$F$31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Qwen!$B$36:$F$36</c:f>
              <c:numCache>
                <c:formatCode>General</c:formatCode>
                <c:ptCount val="5"/>
                <c:pt idx="0">
                  <c:v>3.8</c:v>
                </c:pt>
                <c:pt idx="1">
                  <c:v>3.7</c:v>
                </c:pt>
                <c:pt idx="2">
                  <c:v>3.5</c:v>
                </c:pt>
                <c:pt idx="3">
                  <c:v>3.9</c:v>
                </c:pt>
                <c:pt idx="4">
                  <c:v>3.7250000000000001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D10-4180-8073-983E5C3A9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74295840"/>
        <c:axId val="874291160"/>
      </c:barChart>
      <c:lineChart>
        <c:grouping val="standard"/>
        <c:varyColors val="0"/>
        <c:ser>
          <c:idx val="5"/>
          <c:order val="5"/>
          <c:tx>
            <c:strRef>
              <c:f>Qwen!$A$37</c:f>
              <c:strCache>
                <c:ptCount val="1"/>
                <c:pt idx="0">
                  <c:v>Media</c:v>
                </c:pt>
              </c:strCache>
            </c:strRef>
          </c:tx>
          <c:spPr>
            <a:ln w="28575" cap="rnd">
              <a:solidFill>
                <a:schemeClr val="tx1"/>
              </a:solidFill>
              <a:round/>
            </a:ln>
            <a:effectLst/>
          </c:spPr>
          <c:marker>
            <c:symbol val="none"/>
          </c:marker>
          <c:cat>
            <c:strRef>
              <c:f>Qwen!$B$31:$F$31</c:f>
              <c:strCache>
                <c:ptCount val="5"/>
                <c:pt idx="0">
                  <c:v> Claridad técnica</c:v>
                </c:pt>
                <c:pt idx="1">
                  <c:v>Nivel de dificultad adecuado</c:v>
                </c:pt>
                <c:pt idx="2">
                  <c:v>Calidad de los distractores</c:v>
                </c:pt>
                <c:pt idx="3">
                  <c:v>Validez pedagógica</c:v>
                </c:pt>
                <c:pt idx="4">
                  <c:v>Media</c:v>
                </c:pt>
              </c:strCache>
            </c:strRef>
          </c:cat>
          <c:val>
            <c:numRef>
              <c:f>Qwen!$B$37:$F$37</c:f>
              <c:numCache>
                <c:formatCode>General</c:formatCode>
                <c:ptCount val="5"/>
                <c:pt idx="0">
                  <c:v>3.9800000000000004</c:v>
                </c:pt>
                <c:pt idx="1">
                  <c:v>3.5799999999999996</c:v>
                </c:pt>
                <c:pt idx="2">
                  <c:v>3.6</c:v>
                </c:pt>
                <c:pt idx="3">
                  <c:v>3.94</c:v>
                </c:pt>
                <c:pt idx="4">
                  <c:v>3.7749999999999999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10-4180-8073-983E5C3A99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4295840"/>
        <c:axId val="874291160"/>
      </c:lineChart>
      <c:catAx>
        <c:axId val="87429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74291160"/>
        <c:crosses val="autoZero"/>
        <c:auto val="1"/>
        <c:lblAlgn val="ctr"/>
        <c:lblOffset val="100"/>
        <c:noMultiLvlLbl val="0"/>
      </c:catAx>
      <c:valAx>
        <c:axId val="874291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87429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374014</xdr:colOff>
      <xdr:row>2</xdr:row>
      <xdr:rowOff>12700</xdr:rowOff>
    </xdr:from>
    <xdr:to>
      <xdr:col>20</xdr:col>
      <xdr:colOff>697229</xdr:colOff>
      <xdr:row>29</xdr:row>
      <xdr:rowOff>102870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15F596A-08E7-E23D-B630-348C0260CD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19684</xdr:colOff>
      <xdr:row>36</xdr:row>
      <xdr:rowOff>13970</xdr:rowOff>
    </xdr:from>
    <xdr:to>
      <xdr:col>18</xdr:col>
      <xdr:colOff>307934</xdr:colOff>
      <xdr:row>63</xdr:row>
      <xdr:rowOff>45180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DE628B5-A062-A6D3-B876-956452A403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716915</xdr:colOff>
      <xdr:row>36</xdr:row>
      <xdr:rowOff>0</xdr:rowOff>
    </xdr:from>
    <xdr:to>
      <xdr:col>24</xdr:col>
      <xdr:colOff>665665</xdr:colOff>
      <xdr:row>63</xdr:row>
      <xdr:rowOff>32480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B93D741-55A7-21CF-230F-6CCD0BD3558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216535</xdr:colOff>
      <xdr:row>36</xdr:row>
      <xdr:rowOff>1270</xdr:rowOff>
    </xdr:from>
    <xdr:to>
      <xdr:col>30</xdr:col>
      <xdr:colOff>164015</xdr:colOff>
      <xdr:row>63</xdr:row>
      <xdr:rowOff>32480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621769E-66B1-76E0-85E3-3FFCFDBF6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19051</xdr:colOff>
      <xdr:row>66</xdr:row>
      <xdr:rowOff>7620</xdr:rowOff>
    </xdr:from>
    <xdr:to>
      <xdr:col>15</xdr:col>
      <xdr:colOff>699321</xdr:colOff>
      <xdr:row>84</xdr:row>
      <xdr:rowOff>30120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135AD1DE-DE46-BFD8-2C41-DF2754910B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12</xdr:col>
      <xdr:colOff>5715</xdr:colOff>
      <xdr:row>95</xdr:row>
      <xdr:rowOff>1270</xdr:rowOff>
    </xdr:from>
    <xdr:to>
      <xdr:col>19</xdr:col>
      <xdr:colOff>293965</xdr:colOff>
      <xdr:row>115</xdr:row>
      <xdr:rowOff>66270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8D89D41D-2491-0EC0-0499-10CBE13919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0</xdr:colOff>
      <xdr:row>30</xdr:row>
      <xdr:rowOff>0</xdr:rowOff>
    </xdr:from>
    <xdr:to>
      <xdr:col>21</xdr:col>
      <xdr:colOff>400050</xdr:colOff>
      <xdr:row>42</xdr:row>
      <xdr:rowOff>63500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2316939-928D-4F82-8E34-729B5F269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641985</xdr:colOff>
      <xdr:row>30</xdr:row>
      <xdr:rowOff>95250</xdr:rowOff>
    </xdr:from>
    <xdr:to>
      <xdr:col>19</xdr:col>
      <xdr:colOff>93345</xdr:colOff>
      <xdr:row>45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874B26A-5701-0E2D-AF4B-8D461BE4173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641985</xdr:colOff>
      <xdr:row>30</xdr:row>
      <xdr:rowOff>95250</xdr:rowOff>
    </xdr:from>
    <xdr:to>
      <xdr:col>19</xdr:col>
      <xdr:colOff>93345</xdr:colOff>
      <xdr:row>45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A44F614-9E50-4AC4-8751-65B7C25BDFE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641985</xdr:colOff>
      <xdr:row>30</xdr:row>
      <xdr:rowOff>95250</xdr:rowOff>
    </xdr:from>
    <xdr:to>
      <xdr:col>19</xdr:col>
      <xdr:colOff>93345</xdr:colOff>
      <xdr:row>45</xdr:row>
      <xdr:rowOff>152400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EF5F0B-80F7-44F2-8598-E187E60F1B8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509904</xdr:colOff>
      <xdr:row>30</xdr:row>
      <xdr:rowOff>1270</xdr:rowOff>
    </xdr:from>
    <xdr:to>
      <xdr:col>17</xdr:col>
      <xdr:colOff>177124</xdr:colOff>
      <xdr:row>41</xdr:row>
      <xdr:rowOff>320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F26A9977-C15D-0B0A-8A5C-6850C370B6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509904</xdr:colOff>
      <xdr:row>30</xdr:row>
      <xdr:rowOff>1270</xdr:rowOff>
    </xdr:from>
    <xdr:to>
      <xdr:col>17</xdr:col>
      <xdr:colOff>177124</xdr:colOff>
      <xdr:row>41</xdr:row>
      <xdr:rowOff>320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BE87ED-0F68-4D65-BA8A-C0A8603AF41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509904</xdr:colOff>
      <xdr:row>30</xdr:row>
      <xdr:rowOff>1270</xdr:rowOff>
    </xdr:from>
    <xdr:to>
      <xdr:col>17</xdr:col>
      <xdr:colOff>177124</xdr:colOff>
      <xdr:row>41</xdr:row>
      <xdr:rowOff>320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992BAA7-BE29-4E93-9E6E-A3C391A446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509904</xdr:colOff>
      <xdr:row>30</xdr:row>
      <xdr:rowOff>1270</xdr:rowOff>
    </xdr:from>
    <xdr:to>
      <xdr:col>17</xdr:col>
      <xdr:colOff>177124</xdr:colOff>
      <xdr:row>41</xdr:row>
      <xdr:rowOff>320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BFF7CE74-5C96-4F90-9C4B-010F70E59A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509904</xdr:colOff>
      <xdr:row>30</xdr:row>
      <xdr:rowOff>1270</xdr:rowOff>
    </xdr:from>
    <xdr:to>
      <xdr:col>17</xdr:col>
      <xdr:colOff>177124</xdr:colOff>
      <xdr:row>41</xdr:row>
      <xdr:rowOff>320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EB5E5D-D00A-4836-8EAD-3DDDF1AC81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4:DC13" headerRowDxfId="97">
  <tableColumns count="107">
    <tableColumn id="1" xr3:uid="{00000000-0010-0000-0000-000001000000}" name="Marca temporal"/>
    <tableColumn id="2" xr3:uid="{00000000-0010-0000-0000-000002000000}" name="¿Cuantos años de experiencia tienes enseñando Python?"/>
    <tableColumn id="3" xr3:uid="{00000000-0010-0000-0000-000003000000}" name="¿Con qué frecuencia utiliza modelos de IA para apoyarte en la práctica docente?"/>
    <tableColumn id="4" xr3:uid="{00000000-0010-0000-0000-000004000000}" name="¿Cual es tu actitud hacia el uso de la IA en educación?"/>
    <tableColumn id="9" xr3:uid="{00000000-0010-0000-0000-000009000000}" name="¿Consideras que la IA es capaz de sustituir la creación manual de exámenes de programación a corto plazo? " dataDxfId="96"/>
    <tableColumn id="10" xr3:uid="{00000000-0010-0000-0000-00000A000000}" name="Espacio libre. Deja los comentarios que creas oportunos." dataDxfId="95"/>
    <tableColumn id="5" xr3:uid="{00000000-0010-0000-0000-000005000000}" name="Pregunta 1 [Claridad técnica]"/>
    <tableColumn id="6" xr3:uid="{00000000-0010-0000-0000-000006000000}" name="Pregunta 1 [Nivel de dificultad adecuado]"/>
    <tableColumn id="7" xr3:uid="{00000000-0010-0000-0000-000007000000}" name="Pregunta 1 [Calidad de los distractores]"/>
    <tableColumn id="8" xr3:uid="{00000000-0010-0000-0000-000008000000}" name="Pregunta 1 [Validez pedagógica]"/>
    <tableColumn id="11" xr3:uid="{00000000-0010-0000-0000-00000B000000}" name="Pregunta 2 [Claridad técnica]"/>
    <tableColumn id="12" xr3:uid="{00000000-0010-0000-0000-00000C000000}" name="Pregunta 2 [Nivel de dificultad adecuado]"/>
    <tableColumn id="13" xr3:uid="{00000000-0010-0000-0000-00000D000000}" name="Pregunta 2 [Calidad de los distractores]"/>
    <tableColumn id="14" xr3:uid="{00000000-0010-0000-0000-00000E000000}" name="Pregunta 2 [Validez pedagógica]"/>
    <tableColumn id="15" xr3:uid="{00000000-0010-0000-0000-00000F000000}" name="Pregunta 3 [Claridad técnica]"/>
    <tableColumn id="16" xr3:uid="{00000000-0010-0000-0000-000010000000}" name="Pregunta 3 [Nivel de dificultad adecuado]"/>
    <tableColumn id="17" xr3:uid="{00000000-0010-0000-0000-000011000000}" name="Pregunta 3 [Calidad de los distractores]"/>
    <tableColumn id="18" xr3:uid="{00000000-0010-0000-0000-000012000000}" name="Pregunta 3 [Validez pedagógica]"/>
    <tableColumn id="19" xr3:uid="{00000000-0010-0000-0000-000013000000}" name="Pregunta 4 [Claridad técnica]"/>
    <tableColumn id="20" xr3:uid="{00000000-0010-0000-0000-000014000000}" name="Pregunta 4 [Nivel de dificultad adecuado]"/>
    <tableColumn id="21" xr3:uid="{00000000-0010-0000-0000-000015000000}" name="Pregunta 4 [Calidad de los distractores]"/>
    <tableColumn id="22" xr3:uid="{00000000-0010-0000-0000-000016000000}" name="Pregunta 4 [Validez pedagógica]"/>
    <tableColumn id="23" xr3:uid="{00000000-0010-0000-0000-000017000000}" name="Pregunta 5 [Claridad técnica]"/>
    <tableColumn id="24" xr3:uid="{00000000-0010-0000-0000-000018000000}" name="Pregunta 5 [Nivel de dificultad adecuado]"/>
    <tableColumn id="25" xr3:uid="{00000000-0010-0000-0000-000019000000}" name="Pregunta 5 [Calidad de los distractores]"/>
    <tableColumn id="26" xr3:uid="{00000000-0010-0000-0000-00001A000000}" name="Pregunta 5 [Validez pedagógica]"/>
    <tableColumn id="27" xr3:uid="{00000000-0010-0000-0000-00001B000000}" name="Pregunta 6 [Claridad técnica]"/>
    <tableColumn id="28" xr3:uid="{00000000-0010-0000-0000-00001C000000}" name="Pregunta 6 [Nivel de dificultad adecuado]"/>
    <tableColumn id="29" xr3:uid="{00000000-0010-0000-0000-00001D000000}" name="Pregunta 6 [Calidad de los distractores]"/>
    <tableColumn id="30" xr3:uid="{00000000-0010-0000-0000-00001E000000}" name="Pregunta 6 [Validez pedagógica]"/>
    <tableColumn id="31" xr3:uid="{00000000-0010-0000-0000-00001F000000}" name="Pregunta 7 [Claridad técnica]"/>
    <tableColumn id="32" xr3:uid="{00000000-0010-0000-0000-000020000000}" name="Pregunta 7 [Nivel de dificultad adecuado]"/>
    <tableColumn id="33" xr3:uid="{00000000-0010-0000-0000-000021000000}" name="Pregunta 7 [Calidad de los distractores]"/>
    <tableColumn id="34" xr3:uid="{00000000-0010-0000-0000-000022000000}" name="Pregunta 7 [Validez pedagógica]"/>
    <tableColumn id="35" xr3:uid="{00000000-0010-0000-0000-000023000000}" name="Pregunta 8 [Claridad técnica]"/>
    <tableColumn id="36" xr3:uid="{00000000-0010-0000-0000-000024000000}" name="Pregunta 8 [Nivel de dificultad adecuado]"/>
    <tableColumn id="37" xr3:uid="{00000000-0010-0000-0000-000025000000}" name="Pregunta 8 [Calidad de los distractores]"/>
    <tableColumn id="38" xr3:uid="{00000000-0010-0000-0000-000026000000}" name="Pregunta 8 [Validez pedagógica]"/>
    <tableColumn id="39" xr3:uid="{00000000-0010-0000-0000-000027000000}" name="Pregunta 9 [Claridad técnica]"/>
    <tableColumn id="40" xr3:uid="{00000000-0010-0000-0000-000028000000}" name="Pregunta 9 [Nivel de dificultad adecuado]"/>
    <tableColumn id="41" xr3:uid="{00000000-0010-0000-0000-000029000000}" name="Pregunta 9 [Calidad de los distractores]"/>
    <tableColumn id="42" xr3:uid="{00000000-0010-0000-0000-00002A000000}" name="Pregunta 9 [Validez pedagógica]"/>
    <tableColumn id="43" xr3:uid="{00000000-0010-0000-0000-00002B000000}" name="Pregunta 10 [Claridad técnica]"/>
    <tableColumn id="44" xr3:uid="{00000000-0010-0000-0000-00002C000000}" name="Pregunta 10 [Nivel de dificultad adecuado]"/>
    <tableColumn id="45" xr3:uid="{00000000-0010-0000-0000-00002D000000}" name="Pregunta 10 [Calidad de los distractores]"/>
    <tableColumn id="46" xr3:uid="{00000000-0010-0000-0000-00002E000000}" name="Pregunta 10 [Validez pedagógica]"/>
    <tableColumn id="47" xr3:uid="{00000000-0010-0000-0000-00002F000000}" name="Pregunta 11 [Claridad técnica]"/>
    <tableColumn id="48" xr3:uid="{00000000-0010-0000-0000-000030000000}" name="Pregunta 11 [Nivel de dificultad adecuado]"/>
    <tableColumn id="49" xr3:uid="{00000000-0010-0000-0000-000031000000}" name="Pregunta 11 [Calidad de los distractores]"/>
    <tableColumn id="50" xr3:uid="{00000000-0010-0000-0000-000032000000}" name="Pregunta 11 [Validez pedagógica]"/>
    <tableColumn id="51" xr3:uid="{00000000-0010-0000-0000-000033000000}" name="Pregunta 12 [Claridad técnica]"/>
    <tableColumn id="52" xr3:uid="{00000000-0010-0000-0000-000034000000}" name="Pregunta 12 [Nivel de dificultad adecuado]"/>
    <tableColumn id="53" xr3:uid="{00000000-0010-0000-0000-000035000000}" name="Pregunta 12 [Calidad de los distractores]"/>
    <tableColumn id="54" xr3:uid="{00000000-0010-0000-0000-000036000000}" name="Pregunta 12 [Validez pedagógica]"/>
    <tableColumn id="55" xr3:uid="{00000000-0010-0000-0000-000037000000}" name="Pregunta 13 [Claridad técnica]"/>
    <tableColumn id="56" xr3:uid="{00000000-0010-0000-0000-000038000000}" name="Pregunta 13 [Nivel de dificultad adecuado]"/>
    <tableColumn id="57" xr3:uid="{00000000-0010-0000-0000-000039000000}" name="Pregunta 13 [Calidad de los distractores]"/>
    <tableColumn id="58" xr3:uid="{00000000-0010-0000-0000-00003A000000}" name="Pregunta 13 [Validez pedagógica]"/>
    <tableColumn id="59" xr3:uid="{00000000-0010-0000-0000-00003B000000}" name="Pregunta 14 [Claridad técnica]"/>
    <tableColumn id="60" xr3:uid="{00000000-0010-0000-0000-00003C000000}" name="Pregunta 14 [Nivel de dificultad adecuado]"/>
    <tableColumn id="61" xr3:uid="{00000000-0010-0000-0000-00003D000000}" name="Pregunta 14 [Calidad de los distractores]"/>
    <tableColumn id="62" xr3:uid="{00000000-0010-0000-0000-00003E000000}" name="Pregunta 14 [Validez pedagógica]"/>
    <tableColumn id="63" xr3:uid="{00000000-0010-0000-0000-00003F000000}" name="Pregunta 15 [Claridad técnica]"/>
    <tableColumn id="64" xr3:uid="{00000000-0010-0000-0000-000040000000}" name="Pregunta 15 [Nivel de dificultad adecuado]"/>
    <tableColumn id="65" xr3:uid="{00000000-0010-0000-0000-000041000000}" name="Pregunta 15 [Calidad de los distractores]"/>
    <tableColumn id="66" xr3:uid="{00000000-0010-0000-0000-000042000000}" name="Pregunta 15 [Validez pedagógica]"/>
    <tableColumn id="67" xr3:uid="{00000000-0010-0000-0000-000043000000}" name="Pregunta 16 [Claridad técnica]"/>
    <tableColumn id="68" xr3:uid="{00000000-0010-0000-0000-000044000000}" name="Pregunta 16 [Nivel de dificultad adecuado]"/>
    <tableColumn id="69" xr3:uid="{00000000-0010-0000-0000-000045000000}" name="Pregunta 16 [Calidad de los distractores]"/>
    <tableColumn id="70" xr3:uid="{00000000-0010-0000-0000-000046000000}" name="Pregunta 16 [Validez pedagógica]"/>
    <tableColumn id="71" xr3:uid="{00000000-0010-0000-0000-000047000000}" name="Pregunta 17 [Claridad técnica]"/>
    <tableColumn id="72" xr3:uid="{00000000-0010-0000-0000-000048000000}" name="Pregunta 17 [Nivel de dificultad adecuado]"/>
    <tableColumn id="73" xr3:uid="{00000000-0010-0000-0000-000049000000}" name="Pregunta 17 [Calidad de los distractores]"/>
    <tableColumn id="74" xr3:uid="{00000000-0010-0000-0000-00004A000000}" name="Pregunta 17 [Validez pedagógica]"/>
    <tableColumn id="75" xr3:uid="{00000000-0010-0000-0000-00004B000000}" name="Pregunta 18 [Claridad técnica]"/>
    <tableColumn id="76" xr3:uid="{00000000-0010-0000-0000-00004C000000}" name="Pregunta 18 [Nivel de dificultad adecuado]"/>
    <tableColumn id="77" xr3:uid="{00000000-0010-0000-0000-00004D000000}" name="Pregunta 18 [Calidad de los distractores]"/>
    <tableColumn id="78" xr3:uid="{00000000-0010-0000-0000-00004E000000}" name="Pregunta 18 [Validez pedagógica]"/>
    <tableColumn id="79" xr3:uid="{00000000-0010-0000-0000-00004F000000}" name="Pregunta 19 [Claridad técnica]"/>
    <tableColumn id="80" xr3:uid="{00000000-0010-0000-0000-000050000000}" name="Pregunta 19 [Nivel de dificultad adecuado]"/>
    <tableColumn id="81" xr3:uid="{00000000-0010-0000-0000-000051000000}" name="Pregunta 19 [Calidad de los distractores]"/>
    <tableColumn id="82" xr3:uid="{00000000-0010-0000-0000-000052000000}" name="Pregunta 19 [Validez pedagógica]"/>
    <tableColumn id="83" xr3:uid="{00000000-0010-0000-0000-000053000000}" name="Pregunta 20 [Claridad técnica]"/>
    <tableColumn id="84" xr3:uid="{00000000-0010-0000-0000-000054000000}" name="Pregunta 20 [Nivel de dificultad adecuado]"/>
    <tableColumn id="85" xr3:uid="{00000000-0010-0000-0000-000055000000}" name="Pregunta 20 [Calidad de los distractores]"/>
    <tableColumn id="86" xr3:uid="{00000000-0010-0000-0000-000056000000}" name="Pregunta 20 [Validez pedagógica]"/>
    <tableColumn id="87" xr3:uid="{00000000-0010-0000-0000-000057000000}" name="Pregunta 21 [Claridad técnica]"/>
    <tableColumn id="88" xr3:uid="{00000000-0010-0000-0000-000058000000}" name="Pregunta 21 [Nivel de dificultad adecuado]"/>
    <tableColumn id="89" xr3:uid="{00000000-0010-0000-0000-000059000000}" name="Pregunta 21 [Calidad de los distractores]"/>
    <tableColumn id="90" xr3:uid="{00000000-0010-0000-0000-00005A000000}" name="Pregunta 21 [Validez pedagógica]"/>
    <tableColumn id="91" xr3:uid="{00000000-0010-0000-0000-00005B000000}" name="Pregunta 22 [Claridad técnica]"/>
    <tableColumn id="92" xr3:uid="{00000000-0010-0000-0000-00005C000000}" name="Pregunta 22 [Nivel de dificultad adecuado]"/>
    <tableColumn id="93" xr3:uid="{00000000-0010-0000-0000-00005D000000}" name="Pregunta 22 [Calidad de los distractores]"/>
    <tableColumn id="94" xr3:uid="{00000000-0010-0000-0000-00005E000000}" name="Pregunta 22 [Validez pedagógica]"/>
    <tableColumn id="95" xr3:uid="{00000000-0010-0000-0000-00005F000000}" name="Pregunta 23 [Claridad técnica]"/>
    <tableColumn id="96" xr3:uid="{00000000-0010-0000-0000-000060000000}" name="Pregunta 23 [Nivel de dificultad adecuado]"/>
    <tableColumn id="97" xr3:uid="{00000000-0010-0000-0000-000061000000}" name="Pregunta 23 [Calidad de los distractores]"/>
    <tableColumn id="98" xr3:uid="{00000000-0010-0000-0000-000062000000}" name="Pregunta 23 [Validez pedagógica]"/>
    <tableColumn id="99" xr3:uid="{00000000-0010-0000-0000-000063000000}" name="Pregunta 24 [Claridad técnica]"/>
    <tableColumn id="100" xr3:uid="{00000000-0010-0000-0000-000064000000}" name="Pregunta 24 [Nivel de dificultad adecuado]"/>
    <tableColumn id="101" xr3:uid="{00000000-0010-0000-0000-000065000000}" name="Pregunta 24 [Calidad de los distractores]"/>
    <tableColumn id="102" xr3:uid="{00000000-0010-0000-0000-000066000000}" name="Pregunta 24 [Validez pedagógica]"/>
    <tableColumn id="103" xr3:uid="{00000000-0010-0000-0000-000067000000}" name="Pregunta 25 [Claridad técnica]"/>
    <tableColumn id="104" xr3:uid="{00000000-0010-0000-0000-000068000000}" name="Pregunta 25 [Nivel de dificultad adecuado]"/>
    <tableColumn id="105" xr3:uid="{00000000-0010-0000-0000-000069000000}" name="Pregunta 25 [Calidad de los distractores]"/>
    <tableColumn id="106" xr3:uid="{00000000-0010-0000-0000-00006A000000}" name="Pregunta 25 [Validez pedagógica]"/>
    <tableColumn id="107" xr3:uid="{00000000-0010-0000-0000-00006B000000}" name="¿Cuanto tiempo crees que te llevaría hacer un examen como este de 25 pegruntas sin ayuda de la IA? "/>
  </tableColumns>
  <tableStyleInfo name="Respuestas de formulario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7D3BB61-8F25-44C6-8F2D-B1EABBCF6B9B}" name="Form_Responses3" displayName="Form_Responses3" ref="A4:AA13" headerRowDxfId="94">
  <tableColumns count="27">
    <tableColumn id="1" xr3:uid="{9E6E56AD-C003-4006-BB2D-A842D0F3869B}" name="Marca temporal"/>
    <tableColumn id="2" xr3:uid="{3B2356D0-7C62-4318-BC34-D4C8C8367458}" name="¿Cuantos años de experiencia tienes enseñando Python?"/>
    <tableColumn id="3" xr3:uid="{FC44A5F9-3BDE-4DDB-A97F-2AB154C37F43}" name="¿Con qué frecuencia utiliza modelos de IA para apoyarte en la práctica docente?"/>
    <tableColumn id="4" xr3:uid="{513DAF61-EE54-4C21-A789-D464A868FC8A}" name="¿Cual es tu actitud hacia el uso de la IA en educación?"/>
    <tableColumn id="9" xr3:uid="{44CED468-771D-46F1-A5CC-4F0DB39D7052}" name="¿Consideras que la IA es capaz de sustituir la creación manual de exámenes de programación a corto plazo? " dataDxfId="93"/>
    <tableColumn id="10" xr3:uid="{CEECF709-D545-4041-9D55-5D4328AB14B5}" name="Espacio libre. Deja los comentarios que creas oportunos." dataDxfId="92"/>
    <tableColumn id="11" xr3:uid="{01F271CA-A2DB-4F8E-98F3-10A5247A4449}" name="Pregunta 2 [Claridad técnica]"/>
    <tableColumn id="12" xr3:uid="{A3141576-3644-4313-9691-44314BA7B9FF}" name="Pregunta 2 [Nivel de dificultad adecuado]"/>
    <tableColumn id="13" xr3:uid="{AF09C9EF-163D-4B76-AF0E-27E8E2FDA992}" name="Pregunta 2 [Calidad de los distractores]"/>
    <tableColumn id="14" xr3:uid="{61414A27-8D6E-42FA-A697-F6E12682201A}" name="Pregunta 2 [Validez pedagógica]"/>
    <tableColumn id="31" xr3:uid="{5EBDE806-3EFF-4557-9920-578492432A34}" name="Pregunta 7 [Claridad técnica]"/>
    <tableColumn id="32" xr3:uid="{E77A9C27-5ACD-4CC4-A597-A253A14F716F}" name="Pregunta 7 [Nivel de dificultad adecuado]"/>
    <tableColumn id="33" xr3:uid="{A208C8C9-134E-4022-B4EB-13384C823E16}" name="Pregunta 7 [Calidad de los distractores]"/>
    <tableColumn id="34" xr3:uid="{7BE58D20-2F6C-4488-A7CC-948965DEE561}" name="Pregunta 7 [Validez pedagógica]"/>
    <tableColumn id="55" xr3:uid="{1C7EC198-3D4F-4779-B737-C0A2D61896AE}" name="Pregunta 13 [Claridad técnica]"/>
    <tableColumn id="56" xr3:uid="{45C1422F-244E-457F-B405-781292FE65A3}" name="Pregunta 13 [Nivel de dificultad adecuado]"/>
    <tableColumn id="57" xr3:uid="{1CC4B0C9-03E3-4E4D-B83D-5DB677889911}" name="Pregunta 13 [Calidad de los distractores]"/>
    <tableColumn id="58" xr3:uid="{A69F9B46-C389-40EE-8A8C-2DF56C46B970}" name="Pregunta 13 [Validez pedagógica]"/>
    <tableColumn id="71" xr3:uid="{430E5CC4-B555-499D-AC93-873C91806594}" name="Pregunta 17 [Claridad técnica]"/>
    <tableColumn id="72" xr3:uid="{4147CE3B-B6A3-4399-9633-214753379CB9}" name="Pregunta 17 [Nivel de dificultad adecuado]"/>
    <tableColumn id="73" xr3:uid="{ACB8E2B5-5195-4037-9FFF-1738613F8996}" name="Pregunta 17 [Calidad de los distractores]"/>
    <tableColumn id="74" xr3:uid="{8B97A3AC-E660-4C91-A143-B7F71FAB282B}" name="Pregunta 17 [Validez pedagógica]"/>
    <tableColumn id="99" xr3:uid="{C80D47FB-266F-4B19-A018-EABFA5182AEB}" name="Pregunta 24 [Claridad técnica]"/>
    <tableColumn id="100" xr3:uid="{6F157796-DDA3-4EC7-9FAD-10BD54C266A3}" name="Pregunta 24 [Nivel de dificultad adecuado]"/>
    <tableColumn id="101" xr3:uid="{D1D653F9-DF46-4594-B654-668D20D333EF}" name="Pregunta 24 [Calidad de los distractores]"/>
    <tableColumn id="102" xr3:uid="{9638847D-FBA4-4D8F-8F5D-50B2D8421E68}" name="Pregunta 24 [Validez pedagógica]"/>
    <tableColumn id="107" xr3:uid="{BABF312B-461F-41CB-A157-5335D4264146}" name="¿Cuanto tiempo crees que te llevaría hacer un examen como este de 25 pegruntas sin ayuda de la IA? "/>
  </tableColumns>
  <tableStyleInfo name="Respuestas de formulario 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335B5E-CB92-46F2-9EC6-5A9FD73C58A5}" name="Form_Responses35" displayName="Form_Responses35" ref="A4:Z13" headerRowDxfId="91">
  <tableColumns count="26">
    <tableColumn id="1" xr3:uid="{43F82687-B411-4207-8566-4F6A5380BF24}" name="Marca temporal"/>
    <tableColumn id="2" xr3:uid="{393EA12B-FE0F-4B47-A640-F438B3AD3792}" name="¿Cuantos años de experiencia tienes enseñando Python?"/>
    <tableColumn id="3" xr3:uid="{F364BC93-BE58-4924-8371-0AD97AE11995}" name="¿Con qué frecuencia utiliza modelos de IA para apoyarte en la práctica docente?"/>
    <tableColumn id="4" xr3:uid="{1DDF2F76-6768-44C8-867A-BE980ED4E9BA}" name="¿Cual es tu actitud hacia el uso de la IA en educación?"/>
    <tableColumn id="9" xr3:uid="{68B6317B-2BDD-4BF1-AA3F-8536F91A53E0}" name="¿Consideras que la IA es capaz de sustituir la creación manual de exámenes de programación a corto plazo? " dataDxfId="90"/>
    <tableColumn id="10" xr3:uid="{27CDC284-C422-4763-AE7A-8212559BB7B8}" name="Espacio libre. Deja los comentarios que creas oportunos." dataDxfId="89"/>
    <tableColumn id="11" xr3:uid="{1D1EA1EB-9BAB-4D79-9297-14B77F9EC41E}" name="Pregunta 4 [Claridad técnica]" dataDxfId="88"/>
    <tableColumn id="12" xr3:uid="{3FEDE59B-96C3-4665-BBD5-84C0B9C47B8F}" name="Pregunta 4 [Nivel de dificultad adecuado]" dataDxfId="87"/>
    <tableColumn id="13" xr3:uid="{A4FBDBDE-DDEB-4F8E-8600-EB069918201D}" name="Pregunta 4 [Calidad de los distractores]" dataDxfId="86"/>
    <tableColumn id="14" xr3:uid="{99678A84-5738-49DB-8E26-CF77E5D3B830}" name="Pregunta 4 [Validez pedagógica]" dataDxfId="85"/>
    <tableColumn id="31" xr3:uid="{8E700F66-83F6-42B0-BEAB-E037A0AAE6E9}" name="Pregunta 8 [Claridad técnica]" dataDxfId="84"/>
    <tableColumn id="32" xr3:uid="{2A19E676-CF25-405E-A574-A1A692BADCBF}" name="Pregunta 8 [Nivel de dificultad adecuado]" dataDxfId="83"/>
    <tableColumn id="33" xr3:uid="{8FAF9959-874F-4AB1-829C-3BFD314129FA}" name="Pregunta 8 [Calidad de los distractores]" dataDxfId="82"/>
    <tableColumn id="34" xr3:uid="{134A95AD-4C24-44BC-8EE8-3B0A9649915D}" name="Pregunta 8 [Validez pedagógica]" dataDxfId="81"/>
    <tableColumn id="55" xr3:uid="{EA0C0AD9-3F4B-43D0-B31D-97270F9B05CC}" name="Pregunta 12 [Claridad técnica]" dataDxfId="80"/>
    <tableColumn id="56" xr3:uid="{FDA15751-A8C4-4C74-ADD3-1A1E9C6D96C7}" name="Pregunta 12 [Nivel de dificultad adecuado]" dataDxfId="79"/>
    <tableColumn id="57" xr3:uid="{F7ED9D42-C6F7-49C4-8707-B55880BFA1E6}" name="Pregunta 12 [Calidad de los distractores]" dataDxfId="78"/>
    <tableColumn id="58" xr3:uid="{658C1FA9-F221-44D8-ABEF-D0EFDF0D2606}" name="Pregunta 12 [Validez pedagógica]" dataDxfId="77"/>
    <tableColumn id="71" xr3:uid="{3725E243-0D7B-48A8-84C3-E4FC023BF1A2}" name="Pregunta 16 [Claridad técnica]" dataDxfId="76"/>
    <tableColumn id="72" xr3:uid="{34DD4E51-A88C-4634-A6B1-FECB884B0A59}" name="Pregunta 16 [Nivel de dificultad adecuado]" dataDxfId="75"/>
    <tableColumn id="73" xr3:uid="{A476B327-EED8-4939-B688-A3925623B941}" name="Pregunta 16 [Calidad de los distractores]" dataDxfId="74"/>
    <tableColumn id="74" xr3:uid="{97D1673C-5928-427A-8CFE-A8A937E18A8F}" name="Pregunta 16 [Validez pedagógica]" dataDxfId="73"/>
    <tableColumn id="75" xr3:uid="{8ABE5ECA-EDB8-477D-AEC2-402D45C9D27B}" name="Pregunta 23 [Claridad técnica]" dataDxfId="72"/>
    <tableColumn id="76" xr3:uid="{A12A6C7A-6D83-4613-A57C-0DD16F93093B}" name="Pregunta 23 [Nivel de dificultad adecuado]" dataDxfId="71"/>
    <tableColumn id="77" xr3:uid="{9C457E97-88D9-4743-A111-A2C7A6738E08}" name="Pregunta 23 [Calidad de los distractores]" dataDxfId="70"/>
    <tableColumn id="78" xr3:uid="{9E81536F-E48F-4D86-A9E4-C85D10B74337}" name="Pregunta 23 [Validez pedagógica]" dataDxfId="69"/>
  </tableColumns>
  <tableStyleInfo name="Respuestas de formulario 1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551BB1C-C858-417F-9473-9FF6B5F77A1B}" name="Form_Responses356" displayName="Form_Responses356" ref="A4:Z13" headerRowDxfId="68">
  <tableColumns count="26">
    <tableColumn id="1" xr3:uid="{F500A6BA-BC23-4498-8087-D7DF7A241A16}" name="Marca temporal"/>
    <tableColumn id="2" xr3:uid="{1E7D02CF-3095-482E-9F9D-9AA04C9D0F7D}" name="¿Cuantos años de experiencia tienes enseñando Python?"/>
    <tableColumn id="3" xr3:uid="{B28F5B51-80E2-426F-B0F5-14AD76DD6761}" name="¿Con qué frecuencia utiliza modelos de IA para apoyarte en la práctica docente?"/>
    <tableColumn id="4" xr3:uid="{50BF126F-9C08-403F-9C79-8B7E8691A17A}" name="¿Cual es tu actitud hacia el uso de la IA en educación?"/>
    <tableColumn id="9" xr3:uid="{759FB8EE-B05D-47E2-A16E-E2D255D2C0CC}" name="¿Consideras que la IA es capaz de sustituir la creación manual de exámenes de programación a corto plazo? " dataDxfId="67"/>
    <tableColumn id="10" xr3:uid="{B6010D4E-438C-400A-BD39-25D81E4085F4}" name="Espacio libre. Deja los comentarios que creas oportunos." dataDxfId="66"/>
    <tableColumn id="11" xr3:uid="{D84F70E1-0053-48D5-9B35-93D834777F06}" name="Pregunta 1 [Claridad técnica]" dataDxfId="65"/>
    <tableColumn id="12" xr3:uid="{6974797A-AAFC-4B60-8B9B-9339E5027E32}" name="Pregunta 1 [Nivel de dificultad adecuado]" dataDxfId="64"/>
    <tableColumn id="13" xr3:uid="{CFB65464-90CF-43D0-A309-3F4040C2FDB1}" name="Pregunta 1 [Calidad de los distractores]" dataDxfId="63"/>
    <tableColumn id="14" xr3:uid="{2E1A17CF-AFB0-4F94-81B5-3E6BE75B515E}" name="Pregunta 1 [Validez pedagógica]" dataDxfId="62"/>
    <tableColumn id="31" xr3:uid="{13A13AAF-197A-42E7-9040-C84CC6D353DA}" name="Pregunta 10 [Claridad técnica]" dataDxfId="61"/>
    <tableColumn id="32" xr3:uid="{A741CE83-F8F3-49E7-95A9-4203192D7A3E}" name="Pregunta 10 [Nivel de dificultad adecuado]" dataDxfId="60"/>
    <tableColumn id="33" xr3:uid="{2F7B3548-39A8-41EE-9319-C6BB62481ECF}" name="Pregunta 10 [Calidad de los distractores]" dataDxfId="59"/>
    <tableColumn id="34" xr3:uid="{882B3F1E-8B6A-4243-A52A-DD268C9230F8}" name="Pregunta 10 [Validez pedagógica]" dataDxfId="58"/>
    <tableColumn id="55" xr3:uid="{CB3A059C-37F5-475D-B717-06612B824302}" name="Pregunta 14 [Claridad técnica]" dataDxfId="57"/>
    <tableColumn id="56" xr3:uid="{476DFD61-4C02-43EF-8312-5EAC7060D788}" name="Pregunta 14 [Nivel de dificultad adecuado]" dataDxfId="56"/>
    <tableColumn id="57" xr3:uid="{54BC69DB-6DF7-4F33-8EAB-8A42FEEAF6C0}" name="Pregunta 14 [Calidad de los distractores]" dataDxfId="55"/>
    <tableColumn id="58" xr3:uid="{7F7D970A-266E-4E69-9E88-4DD6816496ED}" name="Pregunta 14 [Validez pedagógica]" dataDxfId="54"/>
    <tableColumn id="71" xr3:uid="{E5F8A34D-DF5D-46F8-952E-0D5363A36EC5}" name="Pregunta 19 [Claridad técnica]" dataDxfId="53"/>
    <tableColumn id="72" xr3:uid="{30A1FDD8-9FD3-4D98-A700-255DDD0C595E}" name="Pregunta 19 [Nivel de dificultad adecuado]" dataDxfId="52"/>
    <tableColumn id="73" xr3:uid="{BFE58A43-D592-4B8C-8E92-52A03FCFF0F8}" name="Pregunta 19 [Calidad de los distractores]" dataDxfId="51"/>
    <tableColumn id="74" xr3:uid="{7A5DE53C-13D4-4C4C-A7B9-49CCAAD991D3}" name="Pregunta 19 [Validez pedagógica]" dataDxfId="50"/>
    <tableColumn id="75" xr3:uid="{32F6788A-6023-4B67-8005-CA17F2CD2A4F}" name="Pregunta 25 [Claridad técnica]" dataDxfId="49"/>
    <tableColumn id="76" xr3:uid="{C68661D2-3239-4DBF-943E-6C2D42E4550D}" name="Pregunta 25 [Nivel de dificultad adecuado]" dataDxfId="48"/>
    <tableColumn id="77" xr3:uid="{C5C5A766-9378-4D8B-9D82-634B38815817}" name="Pregunta 25 [Calidad de los distractores]" dataDxfId="47"/>
    <tableColumn id="78" xr3:uid="{20CBD4A5-9B6D-4593-84FC-DA9F81472F71}" name="Pregunta 25 [Validez pedagógica]" dataDxfId="46"/>
  </tableColumns>
  <tableStyleInfo name="Respuestas de formulario 1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92D1F2D-FE90-49EE-B660-AB910CD33775}" name="Form_Responses3567" displayName="Form_Responses3567" ref="A4:Z13" headerRowDxfId="45">
  <tableColumns count="26">
    <tableColumn id="1" xr3:uid="{81F724D8-7840-4190-9B98-B8D8D9551156}" name="Marca temporal"/>
    <tableColumn id="2" xr3:uid="{DCD17F58-129C-49E4-9EF6-E5615F5D705C}" name="¿Cuantos años de experiencia tienes enseñando Python?"/>
    <tableColumn id="3" xr3:uid="{9666716E-81E8-433D-9885-DF6E91B7529C}" name="¿Con qué frecuencia utiliza modelos de IA para apoyarte en la práctica docente?"/>
    <tableColumn id="4" xr3:uid="{60A5925A-DF99-4AD8-BB89-F8144D8C20E7}" name="¿Cual es tu actitud hacia el uso de la IA en educación?"/>
    <tableColumn id="9" xr3:uid="{F2A908EB-F7E9-46E6-9176-976EEA607AF0}" name="¿Consideras que la IA es capaz de sustituir la creación manual de exámenes de programación a corto plazo? " dataDxfId="44"/>
    <tableColumn id="10" xr3:uid="{140FA0E6-FA35-4B30-9752-199B8CFDF616}" name="Espacio libre. Deja los comentarios que creas oportunos." dataDxfId="43"/>
    <tableColumn id="11" xr3:uid="{9E86CD08-5871-4F27-BECB-68CB3A60CC0A}" name="Pregunta 3 [Claridad técnica]" dataDxfId="42"/>
    <tableColumn id="12" xr3:uid="{66B8042F-1ABD-47C6-8A6E-20BC1E572632}" name="Pregunta 3 [Nivel de dificultad adecuado]" dataDxfId="41"/>
    <tableColumn id="13" xr3:uid="{85FD623A-7320-4103-BB00-4358670D2BE4}" name="Pregunta 3 [Calidad de los distractores]" dataDxfId="40"/>
    <tableColumn id="14" xr3:uid="{61D70F22-EE65-4043-86DB-14BEC33DC549}" name="Pregunta 3 [Validez pedagógica]" dataDxfId="39"/>
    <tableColumn id="31" xr3:uid="{2A81E51C-FB8E-4E94-A9BF-87AE56E8906A}" name="Pregunta 9 [Claridad técnica]" dataDxfId="38"/>
    <tableColumn id="32" xr3:uid="{506B5E00-FD24-4CD8-A5B9-A65461D7D232}" name="Pregunta 9 [Nivel de dificultad adecuado]" dataDxfId="37"/>
    <tableColumn id="33" xr3:uid="{B64CC9ED-31B3-4D5E-BDE8-DA5F7F7AE755}" name="Pregunta 9 [Calidad de los distractores]" dataDxfId="36"/>
    <tableColumn id="34" xr3:uid="{684CA1AC-86D5-4FEB-A6F0-20D6E3B6B6F1}" name="Pregunta 9 [Validez pedagógica]" dataDxfId="35"/>
    <tableColumn id="55" xr3:uid="{2F1C258E-5697-400F-8D0A-A9CA4CB4496F}" name="Pregunta 11 [Claridad técnica]" dataDxfId="34"/>
    <tableColumn id="56" xr3:uid="{0ED29B14-1B02-4C00-931D-9F6514206B7D}" name="Pregunta 11 [Nivel de dificultad adecuado]" dataDxfId="33"/>
    <tableColumn id="57" xr3:uid="{98ABCB2F-D981-49A1-929E-AFB5B0D63D73}" name="Pregunta 11 [Calidad de los distractores]" dataDxfId="32"/>
    <tableColumn id="58" xr3:uid="{75362EA0-3EA1-437A-B336-E3370CD018A7}" name="Pregunta 11 [Validez pedagógica]" dataDxfId="31"/>
    <tableColumn id="71" xr3:uid="{D46C76D0-F5A0-4439-8B63-CBC6B297B833}" name="Pregunta 20 [Claridad técnica]" dataDxfId="30"/>
    <tableColumn id="72" xr3:uid="{3733DDE6-31C1-496C-AFBD-EFE1C0C5E869}" name="Pregunta 20 [Nivel de dificultad adecuado]" dataDxfId="29"/>
    <tableColumn id="73" xr3:uid="{A5AE8C0D-F605-40DC-8B83-FE8DED6BD1E4}" name="Pregunta 20 [Calidad de los distractores]" dataDxfId="28"/>
    <tableColumn id="74" xr3:uid="{F26E2326-4599-4A18-A76E-9B0BC6933C7E}" name="Pregunta 20 [Validez pedagógica]" dataDxfId="27"/>
    <tableColumn id="75" xr3:uid="{4C71E812-6C3F-4683-B915-83174AE27872}" name="Pregunta 22 [Claridad técnica]" dataDxfId="26"/>
    <tableColumn id="76" xr3:uid="{0E43ED0B-601A-4729-BA1B-BB345AF77B03}" name="Pregunta 22 [Nivel de dificultad adecuado]" dataDxfId="25"/>
    <tableColumn id="77" xr3:uid="{844AC7F4-9D81-4C28-A668-D2728C712CE4}" name="Pregunta 22 [Calidad de los distractores]" dataDxfId="24"/>
    <tableColumn id="78" xr3:uid="{47C8F7A6-BC1F-43AA-B8F7-88EEA12FB744}" name="Pregunta 22 [Validez pedagógica]" dataDxfId="23"/>
  </tableColumns>
  <tableStyleInfo name="Respuestas de formulario 1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8E70A41-BA31-471B-8D72-34F728DFF13B}" name="Form_Responses35678" displayName="Form_Responses35678" ref="A4:Z13" headerRowDxfId="22">
  <tableColumns count="26">
    <tableColumn id="1" xr3:uid="{B23C0B62-E893-45C6-802D-8B294255D0AC}" name="Marca temporal"/>
    <tableColumn id="2" xr3:uid="{E1B83453-BC5A-4590-8E30-9BC2E6AB2A05}" name="¿Cuantos años de experiencia tienes enseñando Python?"/>
    <tableColumn id="3" xr3:uid="{F0A7C90C-F704-45F2-AF18-45E54B322BEF}" name="¿Con qué frecuencia utiliza modelos de IA para apoyarte en la práctica docente?"/>
    <tableColumn id="4" xr3:uid="{E11392CA-F167-4F97-8C72-7DDF1CDB18FE}" name="¿Cual es tu actitud hacia el uso de la IA en educación?"/>
    <tableColumn id="9" xr3:uid="{386E9A63-5A3A-4EEA-9623-8C2D88CADA71}" name="¿Consideras que la IA es capaz de sustituir la creación manual de exámenes de programación a corto plazo? " dataDxfId="21"/>
    <tableColumn id="10" xr3:uid="{2E15E9BE-DDEC-4450-A861-8F1E0E69BA39}" name="Espacio libre. Deja los comentarios que creas oportunos." dataDxfId="20"/>
    <tableColumn id="11" xr3:uid="{B03C7A0A-7AF1-4118-96BA-FE91FA7E618A}" name="Pregunta 5 [Claridad técnica]" dataDxfId="19"/>
    <tableColumn id="12" xr3:uid="{1510D52E-287C-4DF6-9A1A-D1113ABCE7F8}" name="Pregunta 5 [Nivel de dificultad adecuado]" dataDxfId="18"/>
    <tableColumn id="13" xr3:uid="{CEB48E1B-7DC8-45E2-82D1-CF91C0B97F39}" name="Pregunta 5 [Calidad de los distractores]" dataDxfId="17"/>
    <tableColumn id="14" xr3:uid="{A977893E-F3B5-4A3E-BA47-2DC29C1E4190}" name="Pregunta 5 [Validez pedagógica]" dataDxfId="16"/>
    <tableColumn id="31" xr3:uid="{58DEBB13-8DC2-4BF1-A568-4C42DDEDA927}" name="Pregunta 6 [Claridad técnica]" dataDxfId="15"/>
    <tableColumn id="32" xr3:uid="{1105FE4F-4D89-4720-9170-3BB929DDE0AE}" name="Pregunta 6 [Nivel de dificultad adecuado]" dataDxfId="14"/>
    <tableColumn id="33" xr3:uid="{8A106067-68B1-4CC6-A430-AC50C838AF0B}" name="Pregunta 6 [Calidad de los distractores]" dataDxfId="13"/>
    <tableColumn id="34" xr3:uid="{AAFEA655-D486-406A-B262-E3BB9F38EFC0}" name="Pregunta 6 [Validez pedagógica]" dataDxfId="12"/>
    <tableColumn id="55" xr3:uid="{A3510C4C-F4F2-4A48-BCA1-FA7B8073DC34}" name="Pregunta 15 [Claridad técnica]" dataDxfId="11"/>
    <tableColumn id="56" xr3:uid="{A0482B9E-8DD7-48FA-9D96-9A8D7CE810E4}" name="Pregunta 15 [Nivel de dificultad adecuado]" dataDxfId="10"/>
    <tableColumn id="57" xr3:uid="{DF28684F-6549-477C-B070-B34E73F8102E}" name="Pregunta 15 [Calidad de los distractores]" dataDxfId="9"/>
    <tableColumn id="58" xr3:uid="{8BAC1638-92E3-40BA-B0FB-A1B969B13074}" name="Pregunta 15 [Validez pedagógica]" dataDxfId="8"/>
    <tableColumn id="71" xr3:uid="{98F199F4-D01A-4713-80BA-6889802C36EF}" name="Pregunta 18 [Claridad técnica]" dataDxfId="7"/>
    <tableColumn id="72" xr3:uid="{3D25C332-7830-4F9F-AF9C-D4C8BF564F80}" name="Pregunta 18 [Nivel de dificultad adecuado]" dataDxfId="6"/>
    <tableColumn id="73" xr3:uid="{04489E11-CF03-4E7B-808D-C5CBC784425D}" name="Pregunta 18 [Calidad de los distractores]" dataDxfId="5"/>
    <tableColumn id="74" xr3:uid="{9A0921B6-B97D-4355-BDD8-E708FDBFB303}" name="Pregunta 18 [Validez pedagógica]" dataDxfId="4"/>
    <tableColumn id="75" xr3:uid="{8BD20F9C-4EE5-4C82-AAD5-94D62250ECEB}" name="Pregunta 21 [Claridad técnica]" dataDxfId="3"/>
    <tableColumn id="76" xr3:uid="{CDEA7DAE-D436-4612-AED8-72B3567E23E2}" name="Pregunta 21 [Nivel de dificultad adecuado]" dataDxfId="2"/>
    <tableColumn id="77" xr3:uid="{39E5D1F7-3517-44F5-9E62-2A932AFEAB78}" name="Pregunta 21 [Calidad de los distractores]" dataDxfId="1"/>
    <tableColumn id="78" xr3:uid="{D853DF86-ABC3-4C0E-8650-4CED12167015}" name="Pregunta 21 [Validez pedagógica]" dataDxfId="0"/>
  </tableColumns>
  <tableStyleInfo name="Respuestas de formulario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131BB-4FDC-4DB6-AB65-50BA633E2A29}">
  <dimension ref="A2:K101"/>
  <sheetViews>
    <sheetView tabSelected="1" topLeftCell="G88" workbookViewId="0">
      <selection activeCell="S108" sqref="S108"/>
    </sheetView>
  </sheetViews>
  <sheetFormatPr baseColWidth="10" defaultRowHeight="12.3" x14ac:dyDescent="0.4"/>
  <cols>
    <col min="7" max="7" width="11.88671875" bestFit="1" customWidth="1"/>
    <col min="10" max="10" width="11.88671875" bestFit="1" customWidth="1"/>
  </cols>
  <sheetData>
    <row r="2" spans="1:11" x14ac:dyDescent="0.4">
      <c r="A2" s="9" t="s">
        <v>142</v>
      </c>
      <c r="B2" s="9"/>
      <c r="C2" s="9"/>
      <c r="D2" s="9"/>
      <c r="E2" s="9"/>
      <c r="F2" s="5"/>
    </row>
    <row r="3" spans="1:11" x14ac:dyDescent="0.4">
      <c r="A3" s="9"/>
      <c r="B3" s="9"/>
      <c r="C3" s="9"/>
      <c r="D3" s="9"/>
      <c r="E3" s="9"/>
      <c r="F3" s="5"/>
    </row>
    <row r="6" spans="1:11" x14ac:dyDescent="0.4">
      <c r="F6" t="s">
        <v>178</v>
      </c>
      <c r="G6" s="8" t="s">
        <v>112</v>
      </c>
      <c r="H6" s="8" t="s">
        <v>175</v>
      </c>
      <c r="I6" s="8" t="s">
        <v>176</v>
      </c>
      <c r="J6" s="8" t="s">
        <v>180</v>
      </c>
      <c r="K6" s="8" t="s">
        <v>181</v>
      </c>
    </row>
    <row r="7" spans="1:11" x14ac:dyDescent="0.4">
      <c r="B7" s="10" t="s">
        <v>112</v>
      </c>
      <c r="C7" s="10"/>
      <c r="E7" t="s">
        <v>148</v>
      </c>
      <c r="F7">
        <f>Resp!L32</f>
        <v>3.5249999999999999</v>
      </c>
      <c r="G7">
        <f>'1Year'!L32</f>
        <v>3.875</v>
      </c>
      <c r="H7">
        <f>'1Year3'!L32</f>
        <v>3.085</v>
      </c>
      <c r="I7">
        <f>'3Year7'!L32</f>
        <v>3.5024999999999999</v>
      </c>
      <c r="J7" t="e">
        <f>IF(F7=MAX($F$7:$F$32), F7, NA())</f>
        <v>#N/A</v>
      </c>
      <c r="K7" t="e">
        <f>IF(F7=MIN($F$7:$F$32), F7, NA())</f>
        <v>#N/A</v>
      </c>
    </row>
    <row r="8" spans="1:11" x14ac:dyDescent="0.4">
      <c r="B8" s="10" t="s">
        <v>113</v>
      </c>
      <c r="C8" s="10"/>
      <c r="E8" t="s">
        <v>149</v>
      </c>
      <c r="F8">
        <f>Resp!L33</f>
        <v>4.0500000000000007</v>
      </c>
      <c r="G8">
        <f>'1Year'!L33</f>
        <v>3.8125</v>
      </c>
      <c r="H8">
        <f>'1Year3'!L33</f>
        <v>4</v>
      </c>
      <c r="I8">
        <f>'3Year7'!L33</f>
        <v>4.4175000000000004</v>
      </c>
      <c r="J8" t="e">
        <f t="shared" ref="J8:J32" si="0">IF(F8=MAX($F$7:$F$32), F8, NA())</f>
        <v>#N/A</v>
      </c>
      <c r="K8" t="e">
        <f t="shared" ref="K8:K32" si="1">IF(F8=MIN($F$7:$F$32), F8, NA())</f>
        <v>#N/A</v>
      </c>
    </row>
    <row r="9" spans="1:11" x14ac:dyDescent="0.4">
      <c r="B9" s="10" t="s">
        <v>107</v>
      </c>
      <c r="C9" s="10"/>
      <c r="E9" t="s">
        <v>150</v>
      </c>
      <c r="F9">
        <f>Resp!L34</f>
        <v>4.1749999999999998</v>
      </c>
      <c r="G9">
        <f>'1Year'!L34</f>
        <v>4.125</v>
      </c>
      <c r="H9">
        <f>'1Year3'!L34</f>
        <v>3.75</v>
      </c>
      <c r="I9">
        <f>'3Year7'!L34</f>
        <v>4.67</v>
      </c>
      <c r="J9" t="e">
        <f t="shared" si="0"/>
        <v>#N/A</v>
      </c>
      <c r="K9" t="e">
        <f t="shared" si="1"/>
        <v>#N/A</v>
      </c>
    </row>
    <row r="10" spans="1:11" x14ac:dyDescent="0.4">
      <c r="E10" t="s">
        <v>151</v>
      </c>
      <c r="F10">
        <f>Resp!L35</f>
        <v>4.2249999999999996</v>
      </c>
      <c r="G10">
        <f>'1Year'!L35</f>
        <v>4.125</v>
      </c>
      <c r="H10">
        <f>'1Year3'!L35</f>
        <v>3.9175</v>
      </c>
      <c r="I10">
        <f>'3Year7'!L35</f>
        <v>4.67</v>
      </c>
      <c r="J10" t="e">
        <f t="shared" si="0"/>
        <v>#N/A</v>
      </c>
      <c r="K10" t="e">
        <f t="shared" si="1"/>
        <v>#N/A</v>
      </c>
    </row>
    <row r="11" spans="1:11" x14ac:dyDescent="0.4">
      <c r="E11" t="s">
        <v>152</v>
      </c>
      <c r="F11">
        <f>Resp!L36</f>
        <v>3.25</v>
      </c>
      <c r="G11">
        <f>'1Year'!L36</f>
        <v>3.0625</v>
      </c>
      <c r="H11">
        <f>'1Year3'!L36</f>
        <v>2.75</v>
      </c>
      <c r="I11">
        <f>'3Year7'!L36</f>
        <v>4.0024999999999995</v>
      </c>
      <c r="J11" t="e">
        <f t="shared" si="0"/>
        <v>#N/A</v>
      </c>
      <c r="K11">
        <f t="shared" si="1"/>
        <v>3.25</v>
      </c>
    </row>
    <row r="12" spans="1:11" x14ac:dyDescent="0.4">
      <c r="E12" t="s">
        <v>153</v>
      </c>
      <c r="F12">
        <f>Resp!L37</f>
        <v>3.9249999999999998</v>
      </c>
      <c r="G12">
        <f>'1Year'!L37</f>
        <v>3.75</v>
      </c>
      <c r="H12">
        <f>'1Year3'!L37</f>
        <v>3.7524999999999999</v>
      </c>
      <c r="I12">
        <f>'3Year7'!L37</f>
        <v>4.3324999999999996</v>
      </c>
      <c r="J12" t="e">
        <f t="shared" si="0"/>
        <v>#N/A</v>
      </c>
      <c r="K12" t="e">
        <f t="shared" si="1"/>
        <v>#N/A</v>
      </c>
    </row>
    <row r="13" spans="1:11" x14ac:dyDescent="0.4">
      <c r="E13" t="s">
        <v>154</v>
      </c>
      <c r="F13">
        <f>Resp!L38</f>
        <v>3.8499999999999996</v>
      </c>
      <c r="G13">
        <f>'1Year'!L38</f>
        <v>3.5</v>
      </c>
      <c r="H13">
        <f>'1Year3'!L38</f>
        <v>3.9175</v>
      </c>
      <c r="I13">
        <f>'3Year7'!L38</f>
        <v>4.2524999999999995</v>
      </c>
      <c r="J13" t="e">
        <f t="shared" si="0"/>
        <v>#N/A</v>
      </c>
      <c r="K13" t="e">
        <f t="shared" si="1"/>
        <v>#N/A</v>
      </c>
    </row>
    <row r="14" spans="1:11" x14ac:dyDescent="0.4">
      <c r="E14" t="s">
        <v>155</v>
      </c>
      <c r="F14">
        <f>Resp!L39</f>
        <v>3.9749999999999996</v>
      </c>
      <c r="G14">
        <f>'1Year'!L39</f>
        <v>3.75</v>
      </c>
      <c r="H14">
        <f>'1Year3'!L39</f>
        <v>4</v>
      </c>
      <c r="I14">
        <f>'3Year7'!L39</f>
        <v>4.25</v>
      </c>
      <c r="J14" t="e">
        <f t="shared" si="0"/>
        <v>#N/A</v>
      </c>
      <c r="K14" t="e">
        <f t="shared" si="1"/>
        <v>#N/A</v>
      </c>
    </row>
    <row r="15" spans="1:11" x14ac:dyDescent="0.4">
      <c r="E15" t="s">
        <v>156</v>
      </c>
      <c r="F15">
        <f>Resp!L40</f>
        <v>3.7249999999999996</v>
      </c>
      <c r="G15">
        <f>'1Year'!L40</f>
        <v>3.75</v>
      </c>
      <c r="H15">
        <f>'1Year3'!L40</f>
        <v>3.0825</v>
      </c>
      <c r="I15">
        <f>'3Year7'!L40</f>
        <v>4.3324999999999996</v>
      </c>
      <c r="J15" t="e">
        <f t="shared" si="0"/>
        <v>#N/A</v>
      </c>
      <c r="K15" t="e">
        <f t="shared" si="1"/>
        <v>#N/A</v>
      </c>
    </row>
    <row r="16" spans="1:11" x14ac:dyDescent="0.4">
      <c r="E16" t="s">
        <v>157</v>
      </c>
      <c r="F16">
        <f>Resp!L41</f>
        <v>4.2750000000000004</v>
      </c>
      <c r="G16">
        <f>'1Year'!L41</f>
        <v>4.25</v>
      </c>
      <c r="H16">
        <f>'1Year3'!L41</f>
        <v>4</v>
      </c>
      <c r="I16">
        <f>'3Year7'!L41</f>
        <v>4.585</v>
      </c>
      <c r="J16" t="e">
        <f t="shared" si="0"/>
        <v>#N/A</v>
      </c>
      <c r="K16" t="e">
        <f t="shared" si="1"/>
        <v>#N/A</v>
      </c>
    </row>
    <row r="17" spans="5:11" x14ac:dyDescent="0.4">
      <c r="E17" t="s">
        <v>158</v>
      </c>
      <c r="F17">
        <f>Resp!L42</f>
        <v>4.3</v>
      </c>
      <c r="G17">
        <f>'1Year'!L42</f>
        <v>4</v>
      </c>
      <c r="H17">
        <f>'1Year3'!L42</f>
        <v>4.3324999999999996</v>
      </c>
      <c r="I17">
        <f>'3Year7'!L42</f>
        <v>4.67</v>
      </c>
      <c r="J17">
        <f t="shared" si="0"/>
        <v>4.3</v>
      </c>
      <c r="K17" t="e">
        <f t="shared" si="1"/>
        <v>#N/A</v>
      </c>
    </row>
    <row r="18" spans="5:11" x14ac:dyDescent="0.4">
      <c r="E18" t="s">
        <v>159</v>
      </c>
      <c r="F18">
        <f>Resp!L43</f>
        <v>4.2</v>
      </c>
      <c r="G18">
        <f>'1Year'!L43</f>
        <v>4.0625</v>
      </c>
      <c r="H18">
        <f>'1Year3'!L43</f>
        <v>3.9175</v>
      </c>
      <c r="I18">
        <f>'3Year7'!L43</f>
        <v>4.67</v>
      </c>
      <c r="J18" t="e">
        <f t="shared" si="0"/>
        <v>#N/A</v>
      </c>
      <c r="K18" t="e">
        <f t="shared" si="1"/>
        <v>#N/A</v>
      </c>
    </row>
    <row r="19" spans="5:11" x14ac:dyDescent="0.4">
      <c r="E19" t="s">
        <v>160</v>
      </c>
      <c r="F19">
        <f>Resp!L44</f>
        <v>3.9750000000000001</v>
      </c>
      <c r="G19">
        <f>'1Year'!L44</f>
        <v>3.8125</v>
      </c>
      <c r="H19">
        <f>'1Year3'!L44</f>
        <v>4</v>
      </c>
      <c r="I19">
        <f>'3Year7'!L44</f>
        <v>4.165</v>
      </c>
      <c r="J19" t="e">
        <f t="shared" si="0"/>
        <v>#N/A</v>
      </c>
      <c r="K19" t="e">
        <f t="shared" si="1"/>
        <v>#N/A</v>
      </c>
    </row>
    <row r="20" spans="5:11" x14ac:dyDescent="0.4">
      <c r="E20" t="s">
        <v>161</v>
      </c>
      <c r="F20">
        <f>Resp!L45</f>
        <v>3.6999999999999997</v>
      </c>
      <c r="G20">
        <f>'1Year'!L45</f>
        <v>3.625</v>
      </c>
      <c r="H20">
        <f>'1Year3'!L45</f>
        <v>2.835</v>
      </c>
      <c r="I20">
        <f>'3Year7'!L45</f>
        <v>4.67</v>
      </c>
      <c r="J20" t="e">
        <f t="shared" si="0"/>
        <v>#N/A</v>
      </c>
      <c r="K20" t="e">
        <f t="shared" si="1"/>
        <v>#N/A</v>
      </c>
    </row>
    <row r="21" spans="5:11" x14ac:dyDescent="0.4">
      <c r="E21" t="s">
        <v>162</v>
      </c>
      <c r="F21">
        <f>Resp!L46</f>
        <v>3.9000000000000004</v>
      </c>
      <c r="G21">
        <f>'1Year'!L46</f>
        <v>3.375</v>
      </c>
      <c r="H21">
        <f>'1Year3'!L46</f>
        <v>4.0824999999999996</v>
      </c>
      <c r="I21">
        <f>'3Year7'!L46</f>
        <v>4.415</v>
      </c>
      <c r="J21" t="e">
        <f t="shared" si="0"/>
        <v>#N/A</v>
      </c>
      <c r="K21" t="e">
        <f t="shared" si="1"/>
        <v>#N/A</v>
      </c>
    </row>
    <row r="22" spans="5:11" x14ac:dyDescent="0.4">
      <c r="E22" t="s">
        <v>163</v>
      </c>
      <c r="F22">
        <f>Resp!L47</f>
        <v>3.625</v>
      </c>
      <c r="G22">
        <f>'1Year'!L47</f>
        <v>3.625</v>
      </c>
      <c r="H22">
        <f>'1Year3'!L47</f>
        <v>3.0825</v>
      </c>
      <c r="I22">
        <f>'3Year7'!L47</f>
        <v>4.17</v>
      </c>
      <c r="J22" t="e">
        <f t="shared" si="0"/>
        <v>#N/A</v>
      </c>
      <c r="K22" t="e">
        <f t="shared" si="1"/>
        <v>#N/A</v>
      </c>
    </row>
    <row r="23" spans="5:11" x14ac:dyDescent="0.4">
      <c r="E23" t="s">
        <v>164</v>
      </c>
      <c r="F23">
        <f>Resp!L48</f>
        <v>3.75</v>
      </c>
      <c r="G23">
        <f>'1Year'!L48</f>
        <v>3.1875</v>
      </c>
      <c r="H23">
        <f>'1Year3'!L48</f>
        <v>3.6675</v>
      </c>
      <c r="I23">
        <f>'3Year7'!L48</f>
        <v>4.585</v>
      </c>
      <c r="J23" t="e">
        <f t="shared" si="0"/>
        <v>#N/A</v>
      </c>
      <c r="K23" t="e">
        <f t="shared" si="1"/>
        <v>#N/A</v>
      </c>
    </row>
    <row r="24" spans="5:11" x14ac:dyDescent="0.4">
      <c r="E24" t="s">
        <v>165</v>
      </c>
      <c r="F24">
        <f>Resp!L49</f>
        <v>4.0750000000000002</v>
      </c>
      <c r="G24">
        <f>'1Year'!L49</f>
        <v>4.125</v>
      </c>
      <c r="H24">
        <f>'1Year3'!L49</f>
        <v>3.9175</v>
      </c>
      <c r="I24">
        <f>'3Year7'!L49</f>
        <v>4.1675000000000004</v>
      </c>
      <c r="J24" t="e">
        <f t="shared" si="0"/>
        <v>#N/A</v>
      </c>
      <c r="K24" t="e">
        <f t="shared" si="1"/>
        <v>#N/A</v>
      </c>
    </row>
    <row r="25" spans="5:11" x14ac:dyDescent="0.4">
      <c r="E25" t="s">
        <v>166</v>
      </c>
      <c r="F25">
        <f>Resp!L50</f>
        <v>3.5999999999999996</v>
      </c>
      <c r="G25">
        <f>'1Year'!L50</f>
        <v>3.75</v>
      </c>
      <c r="H25">
        <f>'1Year3'!L50</f>
        <v>2.5</v>
      </c>
      <c r="I25">
        <f>'3Year7'!L50</f>
        <v>4.5024999999999995</v>
      </c>
      <c r="J25" t="e">
        <f t="shared" si="0"/>
        <v>#N/A</v>
      </c>
      <c r="K25" t="e">
        <f t="shared" si="1"/>
        <v>#N/A</v>
      </c>
    </row>
    <row r="26" spans="5:11" x14ac:dyDescent="0.4">
      <c r="E26" t="s">
        <v>167</v>
      </c>
      <c r="F26">
        <f>Resp!L51</f>
        <v>3.7</v>
      </c>
      <c r="G26">
        <f>'1Year'!L51</f>
        <v>4</v>
      </c>
      <c r="H26">
        <f>'1Year3'!L51</f>
        <v>2.5</v>
      </c>
      <c r="I26">
        <f>'3Year7'!L51</f>
        <v>4.5</v>
      </c>
      <c r="J26" t="e">
        <f t="shared" si="0"/>
        <v>#N/A</v>
      </c>
      <c r="K26" t="e">
        <f t="shared" si="1"/>
        <v>#N/A</v>
      </c>
    </row>
    <row r="27" spans="5:11" x14ac:dyDescent="0.4">
      <c r="E27" t="s">
        <v>168</v>
      </c>
      <c r="F27">
        <f>Resp!L52</f>
        <v>3.7250000000000001</v>
      </c>
      <c r="G27">
        <f>'1Year'!L52</f>
        <v>3.875</v>
      </c>
      <c r="H27">
        <f>'1Year3'!L52</f>
        <v>3.5825</v>
      </c>
      <c r="I27">
        <f>'3Year7'!L52</f>
        <v>3.6675</v>
      </c>
      <c r="J27" t="e">
        <f t="shared" si="0"/>
        <v>#N/A</v>
      </c>
      <c r="K27" t="e">
        <f t="shared" si="1"/>
        <v>#N/A</v>
      </c>
    </row>
    <row r="28" spans="5:11" x14ac:dyDescent="0.4">
      <c r="E28" t="s">
        <v>169</v>
      </c>
      <c r="F28">
        <f>Resp!L53</f>
        <v>3.7</v>
      </c>
      <c r="G28">
        <f>'1Year'!L53</f>
        <v>3.875</v>
      </c>
      <c r="H28">
        <f>'1Year3'!L53</f>
        <v>3.1675</v>
      </c>
      <c r="I28">
        <f>'3Year7'!L53</f>
        <v>4</v>
      </c>
      <c r="J28" t="e">
        <f t="shared" si="0"/>
        <v>#N/A</v>
      </c>
      <c r="K28" t="e">
        <f t="shared" si="1"/>
        <v>#N/A</v>
      </c>
    </row>
    <row r="29" spans="5:11" x14ac:dyDescent="0.4">
      <c r="E29" t="s">
        <v>170</v>
      </c>
      <c r="F29">
        <f>Resp!L54</f>
        <v>4.1750000000000007</v>
      </c>
      <c r="G29">
        <f>'1Year'!L54</f>
        <v>4.1875</v>
      </c>
      <c r="H29">
        <f>'1Year3'!L54</f>
        <v>3.75</v>
      </c>
      <c r="I29">
        <f>'3Year7'!L54</f>
        <v>4.585</v>
      </c>
      <c r="J29" t="e">
        <f t="shared" si="0"/>
        <v>#N/A</v>
      </c>
      <c r="K29" t="e">
        <f t="shared" si="1"/>
        <v>#N/A</v>
      </c>
    </row>
    <row r="30" spans="5:11" x14ac:dyDescent="0.4">
      <c r="E30" t="s">
        <v>171</v>
      </c>
      <c r="F30">
        <f>Resp!L55</f>
        <v>4.125</v>
      </c>
      <c r="G30">
        <f>'1Year'!L55</f>
        <v>3.875</v>
      </c>
      <c r="H30">
        <f>'1Year3'!L55</f>
        <v>4</v>
      </c>
      <c r="I30">
        <f>'3Year7'!L55</f>
        <v>4.585</v>
      </c>
      <c r="J30" t="e">
        <f t="shared" si="0"/>
        <v>#N/A</v>
      </c>
      <c r="K30" t="e">
        <f t="shared" si="1"/>
        <v>#N/A</v>
      </c>
    </row>
    <row r="31" spans="5:11" x14ac:dyDescent="0.4">
      <c r="E31" t="s">
        <v>172</v>
      </c>
      <c r="F31">
        <f>Resp!L56</f>
        <v>3.9249999999999998</v>
      </c>
      <c r="G31">
        <f>'1Year'!L56</f>
        <v>3.625</v>
      </c>
      <c r="H31">
        <f>'1Year3'!L56</f>
        <v>3.585</v>
      </c>
      <c r="I31">
        <f>'3Year7'!L56</f>
        <v>4.67</v>
      </c>
      <c r="J31" t="e">
        <f t="shared" si="0"/>
        <v>#N/A</v>
      </c>
      <c r="K31" t="e">
        <f t="shared" si="1"/>
        <v>#N/A</v>
      </c>
    </row>
    <row r="32" spans="5:11" x14ac:dyDescent="0.4">
      <c r="E32" t="s">
        <v>177</v>
      </c>
      <c r="F32">
        <f>Resp!L57</f>
        <v>3.8980000000000001</v>
      </c>
      <c r="G32">
        <f>'1Year'!L57</f>
        <v>3.8</v>
      </c>
      <c r="H32">
        <f>'1Year3'!L57</f>
        <v>3.5669999999999997</v>
      </c>
      <c r="I32">
        <f>'3Year7'!L57</f>
        <v>4.3614999999999995</v>
      </c>
      <c r="J32" t="e">
        <f t="shared" si="0"/>
        <v>#N/A</v>
      </c>
      <c r="K32" t="e">
        <f t="shared" si="1"/>
        <v>#N/A</v>
      </c>
    </row>
    <row r="37" spans="1:8" x14ac:dyDescent="0.4">
      <c r="A37" s="9" t="s">
        <v>179</v>
      </c>
      <c r="B37" s="9"/>
      <c r="C37" s="9"/>
      <c r="D37" s="9"/>
      <c r="E37" s="9"/>
    </row>
    <row r="38" spans="1:8" x14ac:dyDescent="0.4">
      <c r="A38" s="9"/>
      <c r="B38" s="9"/>
      <c r="C38" s="9"/>
      <c r="D38" s="9"/>
      <c r="E38" s="9"/>
    </row>
    <row r="40" spans="1:8" x14ac:dyDescent="0.4">
      <c r="F40" s="8" t="s">
        <v>112</v>
      </c>
      <c r="G40" s="8" t="s">
        <v>175</v>
      </c>
      <c r="H40" s="8" t="s">
        <v>176</v>
      </c>
    </row>
    <row r="41" spans="1:8" x14ac:dyDescent="0.4">
      <c r="F41">
        <f>COUNTIF(Resp!B:B,"1 año")</f>
        <v>4</v>
      </c>
      <c r="G41">
        <f>COUNTIF(Resp!B:B,"De 1 a 3 años")</f>
        <v>3</v>
      </c>
      <c r="H41">
        <f>COUNTIF(Resp!B:B,"De 3 a 7 años")</f>
        <v>3</v>
      </c>
    </row>
    <row r="46" spans="1:8" x14ac:dyDescent="0.4">
      <c r="A46" s="9" t="s">
        <v>182</v>
      </c>
      <c r="B46" s="9"/>
      <c r="C46" s="9"/>
      <c r="D46" s="9"/>
      <c r="E46" s="9"/>
    </row>
    <row r="47" spans="1:8" x14ac:dyDescent="0.4">
      <c r="A47" s="9"/>
      <c r="B47" s="9"/>
      <c r="C47" s="9"/>
      <c r="D47" s="9"/>
      <c r="E47" s="9"/>
    </row>
    <row r="48" spans="1:8" x14ac:dyDescent="0.4">
      <c r="F48" t="s">
        <v>183</v>
      </c>
      <c r="G48" t="s">
        <v>184</v>
      </c>
    </row>
    <row r="49" spans="1:7" x14ac:dyDescent="0.4">
      <c r="F49">
        <v>1</v>
      </c>
      <c r="G49">
        <f>COUNTIF(Resp!C:C,F49)</f>
        <v>1</v>
      </c>
    </row>
    <row r="50" spans="1:7" x14ac:dyDescent="0.4">
      <c r="F50">
        <v>2</v>
      </c>
      <c r="G50">
        <f>COUNTIF(Resp!C:C,F50)</f>
        <v>1</v>
      </c>
    </row>
    <row r="51" spans="1:7" x14ac:dyDescent="0.4">
      <c r="F51">
        <v>3</v>
      </c>
      <c r="G51">
        <f>COUNTIF(Resp!C:C,F51)</f>
        <v>1</v>
      </c>
    </row>
    <row r="52" spans="1:7" x14ac:dyDescent="0.4">
      <c r="F52">
        <v>4</v>
      </c>
      <c r="G52">
        <f>COUNTIF(Resp!C:C,F52)</f>
        <v>3</v>
      </c>
    </row>
    <row r="53" spans="1:7" x14ac:dyDescent="0.4">
      <c r="F53">
        <v>5</v>
      </c>
      <c r="G53">
        <f>COUNTIF(Resp!C:C,F53)</f>
        <v>4</v>
      </c>
    </row>
    <row r="57" spans="1:7" x14ac:dyDescent="0.4">
      <c r="A57" s="9" t="s">
        <v>185</v>
      </c>
      <c r="B57" s="9"/>
      <c r="C57" s="9"/>
      <c r="D57" s="9"/>
      <c r="E57" s="9"/>
    </row>
    <row r="58" spans="1:7" x14ac:dyDescent="0.4">
      <c r="A58" s="9"/>
      <c r="B58" s="9"/>
      <c r="C58" s="9"/>
      <c r="D58" s="9"/>
      <c r="E58" s="9"/>
    </row>
    <row r="59" spans="1:7" x14ac:dyDescent="0.4">
      <c r="F59" t="s">
        <v>186</v>
      </c>
      <c r="G59" t="s">
        <v>184</v>
      </c>
    </row>
    <row r="60" spans="1:7" x14ac:dyDescent="0.4">
      <c r="F60">
        <v>1</v>
      </c>
      <c r="G60">
        <f>COUNTIF(Resp!D:D,F60)</f>
        <v>0</v>
      </c>
    </row>
    <row r="61" spans="1:7" x14ac:dyDescent="0.4">
      <c r="F61">
        <v>2</v>
      </c>
      <c r="G61">
        <f>COUNTIF(Resp!D:D,F61)</f>
        <v>1</v>
      </c>
    </row>
    <row r="62" spans="1:7" x14ac:dyDescent="0.4">
      <c r="F62">
        <v>3</v>
      </c>
      <c r="G62">
        <f>COUNTIF(Resp!D:D,F62)</f>
        <v>1</v>
      </c>
    </row>
    <row r="63" spans="1:7" x14ac:dyDescent="0.4">
      <c r="F63">
        <v>4</v>
      </c>
      <c r="G63">
        <f>COUNTIF(Resp!D:D,F63)</f>
        <v>4</v>
      </c>
    </row>
    <row r="64" spans="1:7" x14ac:dyDescent="0.4">
      <c r="F64">
        <v>5</v>
      </c>
      <c r="G64">
        <f>COUNTIF(Resp!D:D,F64)</f>
        <v>4</v>
      </c>
    </row>
    <row r="71" spans="1:7" x14ac:dyDescent="0.4">
      <c r="A71" s="9" t="s">
        <v>187</v>
      </c>
      <c r="B71" s="9"/>
      <c r="C71" s="9"/>
      <c r="D71" s="9"/>
      <c r="E71" s="9"/>
    </row>
    <row r="72" spans="1:7" x14ac:dyDescent="0.4">
      <c r="A72" s="9"/>
      <c r="B72" s="9"/>
      <c r="C72" s="9"/>
      <c r="D72" s="9"/>
      <c r="E72" s="9"/>
    </row>
    <row r="73" spans="1:7" x14ac:dyDescent="0.4">
      <c r="F73" t="s">
        <v>190</v>
      </c>
      <c r="G73" t="e">
        <f>NA()</f>
        <v>#N/A</v>
      </c>
    </row>
    <row r="74" spans="1:7" x14ac:dyDescent="0.4">
      <c r="F74" t="s">
        <v>189</v>
      </c>
      <c r="G74" t="e">
        <f>NA()</f>
        <v>#N/A</v>
      </c>
    </row>
    <row r="75" spans="1:7" x14ac:dyDescent="0.4">
      <c r="F75" t="s">
        <v>188</v>
      </c>
      <c r="G75">
        <v>100</v>
      </c>
    </row>
    <row r="96" spans="7:11" x14ac:dyDescent="0.4">
      <c r="G96" t="s">
        <v>145</v>
      </c>
      <c r="H96" t="s">
        <v>146</v>
      </c>
      <c r="I96" t="s">
        <v>144</v>
      </c>
      <c r="J96" t="s">
        <v>143</v>
      </c>
      <c r="K96" t="s">
        <v>173</v>
      </c>
    </row>
    <row r="97" spans="6:11" x14ac:dyDescent="0.4">
      <c r="F97" t="s">
        <v>197</v>
      </c>
      <c r="G97">
        <f>ChatGPT!B$37</f>
        <v>4.1599999999999993</v>
      </c>
      <c r="H97">
        <f>ChatGPT!C$37</f>
        <v>3.7600000000000002</v>
      </c>
      <c r="I97">
        <f>ChatGPT!D$37</f>
        <v>3.9</v>
      </c>
      <c r="J97">
        <f>ChatGPT!E$37</f>
        <v>3.9800000000000004</v>
      </c>
      <c r="K97">
        <f>ChatGPT!F$37</f>
        <v>3.95</v>
      </c>
    </row>
    <row r="98" spans="6:11" x14ac:dyDescent="0.4">
      <c r="F98" t="s">
        <v>198</v>
      </c>
      <c r="G98">
        <f>Claude!B$37</f>
        <v>4.1800000000000006</v>
      </c>
      <c r="H98">
        <f>Claude!C$37</f>
        <v>3.7800000000000002</v>
      </c>
      <c r="I98">
        <f>Claude!D$37</f>
        <v>4.0999999999999996</v>
      </c>
      <c r="J98">
        <f>Claude!E$37</f>
        <v>4.0999999999999996</v>
      </c>
      <c r="K98">
        <f>Claude!F$37</f>
        <v>4.04</v>
      </c>
    </row>
    <row r="99" spans="6:11" x14ac:dyDescent="0.4">
      <c r="F99" t="s">
        <v>199</v>
      </c>
      <c r="G99">
        <f>Gemini!B$37</f>
        <v>3.9200000000000004</v>
      </c>
      <c r="H99">
        <f>Gemini!C$37</f>
        <v>3.6399999999999997</v>
      </c>
      <c r="I99">
        <f>Gemini!D$37</f>
        <v>3.8199999999999994</v>
      </c>
      <c r="J99">
        <f>Gemini!E$37</f>
        <v>3.84</v>
      </c>
      <c r="K99">
        <f>Gemini!F$37</f>
        <v>3.8049999999999997</v>
      </c>
    </row>
    <row r="100" spans="6:11" x14ac:dyDescent="0.4">
      <c r="F100" t="s">
        <v>200</v>
      </c>
      <c r="G100">
        <f>Mistral!B$37</f>
        <v>4.0999999999999996</v>
      </c>
      <c r="H100">
        <f>Mistral!C$37</f>
        <v>3.8</v>
      </c>
      <c r="I100">
        <f>Mistral!D$37</f>
        <v>3.8199999999999994</v>
      </c>
      <c r="J100">
        <f>Mistral!E$37</f>
        <v>3.96</v>
      </c>
      <c r="K100">
        <f>Mistral!F$37</f>
        <v>3.9199999999999995</v>
      </c>
    </row>
    <row r="101" spans="6:11" x14ac:dyDescent="0.4">
      <c r="F101" t="s">
        <v>196</v>
      </c>
      <c r="G101">
        <f>Qwen!B$37</f>
        <v>3.9800000000000004</v>
      </c>
      <c r="H101">
        <f>Qwen!C$37</f>
        <v>3.5799999999999996</v>
      </c>
      <c r="I101">
        <f>Qwen!D$37</f>
        <v>3.6</v>
      </c>
      <c r="J101">
        <f>Qwen!E$37</f>
        <v>3.94</v>
      </c>
      <c r="K101">
        <f>Qwen!F$37</f>
        <v>3.7749999999999999</v>
      </c>
    </row>
  </sheetData>
  <mergeCells count="8">
    <mergeCell ref="A46:E47"/>
    <mergeCell ref="A57:E58"/>
    <mergeCell ref="A71:E72"/>
    <mergeCell ref="A2:E3"/>
    <mergeCell ref="B7:C7"/>
    <mergeCell ref="B8:C8"/>
    <mergeCell ref="B9:C9"/>
    <mergeCell ref="A37:E38"/>
  </mergeCells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K57"/>
  <sheetViews>
    <sheetView topLeftCell="F1" workbookViewId="0">
      <pane ySplit="4" topLeftCell="A18" activePane="bottomLeft" state="frozen"/>
      <selection pane="bottomLeft" activeCell="H32" sqref="H32"/>
    </sheetView>
  </sheetViews>
  <sheetFormatPr baseColWidth="10" defaultColWidth="12.609375" defaultRowHeight="15.75" customHeight="1" x14ac:dyDescent="0.4"/>
  <cols>
    <col min="1" max="1" width="18.88671875" customWidth="1"/>
    <col min="2" max="2" width="37.609375" customWidth="1"/>
    <col min="3" max="3" width="42.5" customWidth="1"/>
    <col min="4" max="6" width="37.609375" customWidth="1"/>
    <col min="7" max="106" width="7.609375" customWidth="1"/>
    <col min="107" max="107" width="56.6640625" customWidth="1"/>
    <col min="108" max="114" width="18.88671875" customWidth="1"/>
    <col min="115" max="115" width="11" customWidth="1"/>
    <col min="116" max="139" width="5.609375" customWidth="1"/>
  </cols>
  <sheetData>
    <row r="1" spans="1:115" ht="15.75" customHeight="1" x14ac:dyDescent="0.4">
      <c r="G1" s="13" t="s">
        <v>117</v>
      </c>
      <c r="H1" s="13"/>
      <c r="I1" s="13"/>
      <c r="J1" s="13"/>
      <c r="K1" s="13" t="s">
        <v>118</v>
      </c>
      <c r="L1" s="13"/>
      <c r="M1" s="13"/>
      <c r="N1" s="13"/>
      <c r="O1" s="13" t="s">
        <v>119</v>
      </c>
      <c r="P1" s="13"/>
      <c r="Q1" s="13"/>
      <c r="R1" s="13"/>
      <c r="S1" s="13" t="s">
        <v>120</v>
      </c>
      <c r="T1" s="13"/>
      <c r="U1" s="13"/>
      <c r="V1" s="13"/>
      <c r="W1" s="13" t="s">
        <v>121</v>
      </c>
      <c r="X1" s="13"/>
      <c r="Y1" s="13"/>
      <c r="Z1" s="13"/>
      <c r="AA1" s="13" t="s">
        <v>122</v>
      </c>
      <c r="AB1" s="13"/>
      <c r="AC1" s="13"/>
      <c r="AD1" s="13"/>
      <c r="AE1" s="13" t="s">
        <v>123</v>
      </c>
      <c r="AF1" s="13"/>
      <c r="AG1" s="13"/>
      <c r="AH1" s="13"/>
      <c r="AI1" s="13" t="s">
        <v>124</v>
      </c>
      <c r="AJ1" s="13"/>
      <c r="AK1" s="13"/>
      <c r="AL1" s="13"/>
      <c r="AM1" s="13" t="s">
        <v>125</v>
      </c>
      <c r="AN1" s="13"/>
      <c r="AO1" s="13"/>
      <c r="AP1" s="13"/>
      <c r="AQ1" s="13" t="s">
        <v>126</v>
      </c>
      <c r="AR1" s="13"/>
      <c r="AS1" s="13"/>
      <c r="AT1" s="13"/>
      <c r="AU1" s="13" t="s">
        <v>127</v>
      </c>
      <c r="AV1" s="13"/>
      <c r="AW1" s="13"/>
      <c r="AX1" s="13"/>
      <c r="AY1" s="13" t="s">
        <v>128</v>
      </c>
      <c r="AZ1" s="13"/>
      <c r="BA1" s="13"/>
      <c r="BB1" s="13"/>
      <c r="BC1" s="13" t="s">
        <v>129</v>
      </c>
      <c r="BD1" s="13"/>
      <c r="BE1" s="13"/>
      <c r="BF1" s="13"/>
      <c r="BG1" s="13" t="s">
        <v>130</v>
      </c>
      <c r="BH1" s="13"/>
      <c r="BI1" s="13"/>
      <c r="BJ1" s="13"/>
      <c r="BK1" s="13" t="s">
        <v>131</v>
      </c>
      <c r="BL1" s="13"/>
      <c r="BM1" s="13"/>
      <c r="BN1" s="13"/>
      <c r="BO1" s="13" t="s">
        <v>132</v>
      </c>
      <c r="BP1" s="13"/>
      <c r="BQ1" s="13"/>
      <c r="BR1" s="13"/>
      <c r="BS1" s="13" t="s">
        <v>133</v>
      </c>
      <c r="BT1" s="13"/>
      <c r="BU1" s="13"/>
      <c r="BV1" s="13"/>
      <c r="BW1" s="13" t="s">
        <v>134</v>
      </c>
      <c r="BX1" s="13"/>
      <c r="BY1" s="13"/>
      <c r="BZ1" s="13"/>
      <c r="CA1" s="13" t="s">
        <v>135</v>
      </c>
      <c r="CB1" s="13"/>
      <c r="CC1" s="13"/>
      <c r="CD1" s="13"/>
      <c r="CE1" s="13" t="s">
        <v>136</v>
      </c>
      <c r="CF1" s="13"/>
      <c r="CG1" s="13"/>
      <c r="CH1" s="13"/>
      <c r="CI1" s="13" t="s">
        <v>137</v>
      </c>
      <c r="CJ1" s="13"/>
      <c r="CK1" s="13"/>
      <c r="CL1" s="13"/>
      <c r="CM1" s="13" t="s">
        <v>138</v>
      </c>
      <c r="CN1" s="13"/>
      <c r="CO1" s="13"/>
      <c r="CP1" s="13"/>
      <c r="CQ1" s="13" t="s">
        <v>139</v>
      </c>
      <c r="CR1" s="13"/>
      <c r="CS1" s="13"/>
      <c r="CT1" s="13"/>
      <c r="CU1" s="13" t="s">
        <v>140</v>
      </c>
      <c r="CV1" s="13"/>
      <c r="CW1" s="13"/>
      <c r="CX1" s="13"/>
      <c r="CY1" s="13" t="s">
        <v>141</v>
      </c>
      <c r="CZ1" s="13"/>
      <c r="DA1" s="13"/>
      <c r="DB1" s="13"/>
    </row>
    <row r="2" spans="1:115" ht="15.75" customHeight="1" x14ac:dyDescent="0.4">
      <c r="F2" s="4">
        <f>ROUND(AVERAGE(G3:DB3),2)</f>
        <v>3.9</v>
      </c>
      <c r="G2" s="13">
        <f>ROUND(AVERAGE(G3:J3),2)</f>
        <v>3.53</v>
      </c>
      <c r="H2" s="13"/>
      <c r="I2" s="13"/>
      <c r="J2" s="13"/>
      <c r="K2" s="13">
        <f>ROUND(AVERAGE(K3:N3),2)</f>
        <v>4.05</v>
      </c>
      <c r="L2" s="13"/>
      <c r="M2" s="13"/>
      <c r="N2" s="13"/>
      <c r="O2" s="13">
        <f>ROUND(AVERAGE(O3:R3),2)</f>
        <v>4.18</v>
      </c>
      <c r="P2" s="13"/>
      <c r="Q2" s="13"/>
      <c r="R2" s="13"/>
      <c r="S2" s="13">
        <f>ROUND(AVERAGE(S3:V3),2)</f>
        <v>4.2300000000000004</v>
      </c>
      <c r="T2" s="13"/>
      <c r="U2" s="13"/>
      <c r="V2" s="13"/>
      <c r="W2" s="13">
        <f>ROUND(AVERAGE(W3:Z3),2)</f>
        <v>3.25</v>
      </c>
      <c r="X2" s="13"/>
      <c r="Y2" s="13"/>
      <c r="Z2" s="13"/>
      <c r="AA2" s="13">
        <f>ROUND(AVERAGE(AA3:AD3),2)</f>
        <v>3.93</v>
      </c>
      <c r="AB2" s="13"/>
      <c r="AC2" s="13"/>
      <c r="AD2" s="13"/>
      <c r="AE2" s="13">
        <f>ROUND(AVERAGE(AE3:AH3),2)</f>
        <v>3.85</v>
      </c>
      <c r="AF2" s="13"/>
      <c r="AG2" s="13"/>
      <c r="AH2" s="13"/>
      <c r="AI2" s="13">
        <f>ROUND(AVERAGE(AI3:AL3),2)</f>
        <v>3.98</v>
      </c>
      <c r="AJ2" s="13"/>
      <c r="AK2" s="13"/>
      <c r="AL2" s="13"/>
      <c r="AM2" s="13">
        <f>ROUND(AVERAGE(AM3:AP3),2)</f>
        <v>3.73</v>
      </c>
      <c r="AN2" s="13"/>
      <c r="AO2" s="13"/>
      <c r="AP2" s="13"/>
      <c r="AQ2" s="13">
        <f>ROUND(AVERAGE(AQ3:AT3),2)</f>
        <v>4.28</v>
      </c>
      <c r="AR2" s="13"/>
      <c r="AS2" s="13"/>
      <c r="AT2" s="13"/>
      <c r="AU2" s="13">
        <f>ROUND(AVERAGE(AU3:AX3),2)</f>
        <v>4.3</v>
      </c>
      <c r="AV2" s="13"/>
      <c r="AW2" s="13"/>
      <c r="AX2" s="13"/>
      <c r="AY2" s="13">
        <f>ROUND(AVERAGE(AY3:BB3),2)</f>
        <v>4.2</v>
      </c>
      <c r="AZ2" s="13"/>
      <c r="BA2" s="13"/>
      <c r="BB2" s="13"/>
      <c r="BC2" s="13">
        <f>ROUND(AVERAGE(BC3:BF3),2)</f>
        <v>3.98</v>
      </c>
      <c r="BD2" s="13"/>
      <c r="BE2" s="13"/>
      <c r="BF2" s="13"/>
      <c r="BG2" s="13">
        <f>ROUND(AVERAGE(BG3:BJ3),2)</f>
        <v>3.7</v>
      </c>
      <c r="BH2" s="13"/>
      <c r="BI2" s="13"/>
      <c r="BJ2" s="13"/>
      <c r="BK2" s="13">
        <f>ROUND(AVERAGE(BK3:BN3),2)</f>
        <v>3.9</v>
      </c>
      <c r="BL2" s="13"/>
      <c r="BM2" s="13"/>
      <c r="BN2" s="13"/>
      <c r="BO2" s="13">
        <f>ROUND(AVERAGE(BO3:BR3),2)</f>
        <v>3.63</v>
      </c>
      <c r="BP2" s="13"/>
      <c r="BQ2" s="13"/>
      <c r="BR2" s="13"/>
      <c r="BS2" s="13">
        <f>ROUND(AVERAGE(BS3:BV3),2)</f>
        <v>3.75</v>
      </c>
      <c r="BT2" s="13"/>
      <c r="BU2" s="13"/>
      <c r="BV2" s="13"/>
      <c r="BW2" s="13">
        <f>ROUND(AVERAGE(BW3:BZ3),2)</f>
        <v>4.08</v>
      </c>
      <c r="BX2" s="13"/>
      <c r="BY2" s="13"/>
      <c r="BZ2" s="13"/>
      <c r="CA2" s="13">
        <f>ROUND(AVERAGE(CA3:CD3),2)</f>
        <v>3.6</v>
      </c>
      <c r="CB2" s="13"/>
      <c r="CC2" s="13"/>
      <c r="CD2" s="13"/>
      <c r="CE2" s="13">
        <f>ROUND(AVERAGE(CE3:CH3),2)</f>
        <v>3.7</v>
      </c>
      <c r="CF2" s="13"/>
      <c r="CG2" s="13"/>
      <c r="CH2" s="13"/>
      <c r="CI2" s="13">
        <f>ROUND(AVERAGE(CI3:CL3),2)</f>
        <v>3.73</v>
      </c>
      <c r="CJ2" s="13"/>
      <c r="CK2" s="13"/>
      <c r="CL2" s="13"/>
      <c r="CM2" s="13">
        <f>ROUND(AVERAGE(CM3:CP3),2)</f>
        <v>3.7</v>
      </c>
      <c r="CN2" s="13"/>
      <c r="CO2" s="13"/>
      <c r="CP2" s="13"/>
      <c r="CQ2" s="13">
        <f>ROUND(AVERAGE(CQ3:CT3),2)</f>
        <v>4.18</v>
      </c>
      <c r="CR2" s="13"/>
      <c r="CS2" s="13"/>
      <c r="CT2" s="13"/>
      <c r="CU2" s="13">
        <f>ROUND(AVERAGE(CU3:CX3),2)</f>
        <v>4.13</v>
      </c>
      <c r="CV2" s="13"/>
      <c r="CW2" s="13"/>
      <c r="CX2" s="13"/>
      <c r="CY2" s="13">
        <f>ROUND(AVERAGE(CY3:DB3),2)</f>
        <v>3.93</v>
      </c>
      <c r="CZ2" s="13"/>
      <c r="DA2" s="13"/>
      <c r="DB2" s="13"/>
    </row>
    <row r="3" spans="1:115" ht="15.75" customHeight="1" x14ac:dyDescent="0.4">
      <c r="C3">
        <f>ROUND(AVERAGE(C5:C52),2)</f>
        <v>3.8</v>
      </c>
      <c r="D3">
        <f t="shared" ref="D3" si="0">ROUND(AVERAGE(D5:D52),2)</f>
        <v>4.0999999999999996</v>
      </c>
      <c r="G3">
        <f>ROUND(AVERAGE(G5:G20),2)</f>
        <v>3.8</v>
      </c>
      <c r="H3">
        <f t="shared" ref="H3:BS3" si="1">ROUND(AVERAGE(H5:H20),2)</f>
        <v>3.2</v>
      </c>
      <c r="I3">
        <f t="shared" si="1"/>
        <v>3.7</v>
      </c>
      <c r="J3">
        <f t="shared" si="1"/>
        <v>3.4</v>
      </c>
      <c r="K3">
        <f t="shared" si="1"/>
        <v>4.2</v>
      </c>
      <c r="L3">
        <f t="shared" si="1"/>
        <v>4.2</v>
      </c>
      <c r="M3">
        <f t="shared" si="1"/>
        <v>3.7</v>
      </c>
      <c r="N3">
        <f t="shared" si="1"/>
        <v>4.0999999999999996</v>
      </c>
      <c r="O3">
        <f t="shared" si="1"/>
        <v>4.3</v>
      </c>
      <c r="P3">
        <f t="shared" si="1"/>
        <v>4.3</v>
      </c>
      <c r="Q3">
        <f t="shared" si="1"/>
        <v>3.9</v>
      </c>
      <c r="R3">
        <f t="shared" si="1"/>
        <v>4.2</v>
      </c>
      <c r="S3">
        <f t="shared" si="1"/>
        <v>4.4000000000000004</v>
      </c>
      <c r="T3">
        <f t="shared" si="1"/>
        <v>4.0999999999999996</v>
      </c>
      <c r="U3">
        <f t="shared" si="1"/>
        <v>4.3</v>
      </c>
      <c r="V3">
        <f t="shared" si="1"/>
        <v>4.0999999999999996</v>
      </c>
      <c r="W3">
        <f t="shared" si="1"/>
        <v>3.7</v>
      </c>
      <c r="X3">
        <f t="shared" si="1"/>
        <v>3</v>
      </c>
      <c r="Y3">
        <f t="shared" si="1"/>
        <v>3.1</v>
      </c>
      <c r="Z3">
        <f t="shared" si="1"/>
        <v>3.2</v>
      </c>
      <c r="AA3">
        <f t="shared" si="1"/>
        <v>4</v>
      </c>
      <c r="AB3">
        <f t="shared" si="1"/>
        <v>3.7</v>
      </c>
      <c r="AC3">
        <f t="shared" si="1"/>
        <v>3.9</v>
      </c>
      <c r="AD3">
        <f t="shared" si="1"/>
        <v>4.0999999999999996</v>
      </c>
      <c r="AE3">
        <f t="shared" si="1"/>
        <v>4</v>
      </c>
      <c r="AF3">
        <f t="shared" si="1"/>
        <v>3.8</v>
      </c>
      <c r="AG3">
        <f t="shared" si="1"/>
        <v>3.9</v>
      </c>
      <c r="AH3">
        <f t="shared" si="1"/>
        <v>3.7</v>
      </c>
      <c r="AI3">
        <f t="shared" si="1"/>
        <v>4.2</v>
      </c>
      <c r="AJ3">
        <f t="shared" si="1"/>
        <v>3.7</v>
      </c>
      <c r="AK3">
        <f t="shared" si="1"/>
        <v>3.8</v>
      </c>
      <c r="AL3">
        <f t="shared" si="1"/>
        <v>4.2</v>
      </c>
      <c r="AM3">
        <f t="shared" si="1"/>
        <v>4.0999999999999996</v>
      </c>
      <c r="AN3">
        <f t="shared" si="1"/>
        <v>3.4</v>
      </c>
      <c r="AO3">
        <f t="shared" si="1"/>
        <v>3.7</v>
      </c>
      <c r="AP3">
        <f t="shared" si="1"/>
        <v>3.7</v>
      </c>
      <c r="AQ3">
        <f t="shared" si="1"/>
        <v>4.4000000000000004</v>
      </c>
      <c r="AR3">
        <f t="shared" si="1"/>
        <v>4</v>
      </c>
      <c r="AS3">
        <f t="shared" si="1"/>
        <v>4.3</v>
      </c>
      <c r="AT3">
        <f t="shared" si="1"/>
        <v>4.4000000000000004</v>
      </c>
      <c r="AU3">
        <f t="shared" si="1"/>
        <v>4.4000000000000004</v>
      </c>
      <c r="AV3">
        <f t="shared" si="1"/>
        <v>4.3</v>
      </c>
      <c r="AW3">
        <f t="shared" si="1"/>
        <v>4.0999999999999996</v>
      </c>
      <c r="AX3">
        <f t="shared" si="1"/>
        <v>4.4000000000000004</v>
      </c>
      <c r="AY3">
        <f t="shared" si="1"/>
        <v>4.3</v>
      </c>
      <c r="AZ3">
        <f t="shared" si="1"/>
        <v>4</v>
      </c>
      <c r="BA3">
        <f t="shared" si="1"/>
        <v>4.2</v>
      </c>
      <c r="BB3">
        <f t="shared" si="1"/>
        <v>4.3</v>
      </c>
      <c r="BC3">
        <f t="shared" si="1"/>
        <v>4.2</v>
      </c>
      <c r="BD3">
        <f t="shared" si="1"/>
        <v>3.7</v>
      </c>
      <c r="BE3">
        <f t="shared" si="1"/>
        <v>4</v>
      </c>
      <c r="BF3">
        <f t="shared" si="1"/>
        <v>4</v>
      </c>
      <c r="BG3">
        <f t="shared" si="1"/>
        <v>3.9</v>
      </c>
      <c r="BH3">
        <f t="shared" si="1"/>
        <v>3.6</v>
      </c>
      <c r="BI3">
        <f t="shared" si="1"/>
        <v>3.7</v>
      </c>
      <c r="BJ3">
        <f t="shared" si="1"/>
        <v>3.6</v>
      </c>
      <c r="BK3">
        <f t="shared" si="1"/>
        <v>4</v>
      </c>
      <c r="BL3">
        <f t="shared" si="1"/>
        <v>3.7</v>
      </c>
      <c r="BM3">
        <f t="shared" si="1"/>
        <v>3.6</v>
      </c>
      <c r="BN3">
        <f t="shared" si="1"/>
        <v>4.3</v>
      </c>
      <c r="BO3">
        <f t="shared" si="1"/>
        <v>3.8</v>
      </c>
      <c r="BP3">
        <f t="shared" si="1"/>
        <v>3.3</v>
      </c>
      <c r="BQ3">
        <f t="shared" si="1"/>
        <v>3.9</v>
      </c>
      <c r="BR3">
        <f t="shared" si="1"/>
        <v>3.5</v>
      </c>
      <c r="BS3">
        <f t="shared" si="1"/>
        <v>4</v>
      </c>
      <c r="BT3">
        <f t="shared" ref="BT3:DB3" si="2">ROUND(AVERAGE(BT5:BT20),2)</f>
        <v>3.4</v>
      </c>
      <c r="BU3">
        <f t="shared" si="2"/>
        <v>3.8</v>
      </c>
      <c r="BV3">
        <f t="shared" si="2"/>
        <v>3.8</v>
      </c>
      <c r="BW3">
        <f t="shared" si="2"/>
        <v>4.4000000000000004</v>
      </c>
      <c r="BX3">
        <f t="shared" si="2"/>
        <v>3.8</v>
      </c>
      <c r="BY3">
        <f t="shared" si="2"/>
        <v>3.9</v>
      </c>
      <c r="BZ3">
        <f t="shared" si="2"/>
        <v>4.2</v>
      </c>
      <c r="CA3">
        <f t="shared" si="2"/>
        <v>3.5</v>
      </c>
      <c r="CB3">
        <f t="shared" si="2"/>
        <v>3.5</v>
      </c>
      <c r="CC3">
        <f t="shared" si="2"/>
        <v>3.6</v>
      </c>
      <c r="CD3">
        <f t="shared" si="2"/>
        <v>3.8</v>
      </c>
      <c r="CE3">
        <f t="shared" si="2"/>
        <v>3.9</v>
      </c>
      <c r="CF3">
        <f t="shared" si="2"/>
        <v>3.5</v>
      </c>
      <c r="CG3">
        <f t="shared" si="2"/>
        <v>3.6</v>
      </c>
      <c r="CH3">
        <f t="shared" si="2"/>
        <v>3.8</v>
      </c>
      <c r="CI3">
        <f t="shared" si="2"/>
        <v>3.8</v>
      </c>
      <c r="CJ3">
        <f t="shared" si="2"/>
        <v>3.7</v>
      </c>
      <c r="CK3">
        <f t="shared" si="2"/>
        <v>3.5</v>
      </c>
      <c r="CL3">
        <f t="shared" si="2"/>
        <v>3.9</v>
      </c>
      <c r="CM3">
        <f t="shared" si="2"/>
        <v>3.8</v>
      </c>
      <c r="CN3">
        <f t="shared" si="2"/>
        <v>3.5</v>
      </c>
      <c r="CO3">
        <f t="shared" si="2"/>
        <v>3.8</v>
      </c>
      <c r="CP3">
        <f t="shared" si="2"/>
        <v>3.7</v>
      </c>
      <c r="CQ3">
        <f t="shared" si="2"/>
        <v>4.2</v>
      </c>
      <c r="CR3">
        <f t="shared" si="2"/>
        <v>3.8</v>
      </c>
      <c r="CS3">
        <f t="shared" si="2"/>
        <v>4.3</v>
      </c>
      <c r="CT3">
        <f t="shared" si="2"/>
        <v>4.4000000000000004</v>
      </c>
      <c r="CU3">
        <f t="shared" si="2"/>
        <v>4.4000000000000004</v>
      </c>
      <c r="CV3">
        <f t="shared" si="2"/>
        <v>3.7</v>
      </c>
      <c r="CW3">
        <f t="shared" si="2"/>
        <v>4.0999999999999996</v>
      </c>
      <c r="CX3">
        <f t="shared" si="2"/>
        <v>4.3</v>
      </c>
      <c r="CY3">
        <f t="shared" si="2"/>
        <v>4</v>
      </c>
      <c r="CZ3">
        <f t="shared" si="2"/>
        <v>3.9</v>
      </c>
      <c r="DA3">
        <f t="shared" si="2"/>
        <v>3.8</v>
      </c>
      <c r="DB3">
        <f t="shared" si="2"/>
        <v>4</v>
      </c>
    </row>
    <row r="4" spans="1:115" ht="22.5" customHeight="1" x14ac:dyDescent="0.4">
      <c r="A4" s="3" t="s">
        <v>0</v>
      </c>
      <c r="B4" s="3" t="s">
        <v>1</v>
      </c>
      <c r="C4" s="3" t="s">
        <v>2</v>
      </c>
      <c r="D4" s="3" t="s">
        <v>3</v>
      </c>
      <c r="E4" s="3" t="s">
        <v>8</v>
      </c>
      <c r="F4" s="3" t="s">
        <v>9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  <c r="BP4" s="3" t="s">
        <v>67</v>
      </c>
      <c r="BQ4" s="3" t="s">
        <v>68</v>
      </c>
      <c r="BR4" s="3" t="s">
        <v>69</v>
      </c>
      <c r="BS4" s="3" t="s">
        <v>70</v>
      </c>
      <c r="BT4" s="3" t="s">
        <v>71</v>
      </c>
      <c r="BU4" s="3" t="s">
        <v>72</v>
      </c>
      <c r="BV4" s="3" t="s">
        <v>73</v>
      </c>
      <c r="BW4" s="3" t="s">
        <v>74</v>
      </c>
      <c r="BX4" s="3" t="s">
        <v>75</v>
      </c>
      <c r="BY4" s="3" t="s">
        <v>76</v>
      </c>
      <c r="BZ4" s="3" t="s">
        <v>77</v>
      </c>
      <c r="CA4" s="3" t="s">
        <v>78</v>
      </c>
      <c r="CB4" s="3" t="s">
        <v>79</v>
      </c>
      <c r="CC4" s="3" t="s">
        <v>80</v>
      </c>
      <c r="CD4" s="3" t="s">
        <v>81</v>
      </c>
      <c r="CE4" s="3" t="s">
        <v>82</v>
      </c>
      <c r="CF4" s="3" t="s">
        <v>83</v>
      </c>
      <c r="CG4" s="3" t="s">
        <v>84</v>
      </c>
      <c r="CH4" s="3" t="s">
        <v>85</v>
      </c>
      <c r="CI4" s="3" t="s">
        <v>86</v>
      </c>
      <c r="CJ4" s="3" t="s">
        <v>87</v>
      </c>
      <c r="CK4" s="3" t="s">
        <v>88</v>
      </c>
      <c r="CL4" s="3" t="s">
        <v>89</v>
      </c>
      <c r="CM4" s="3" t="s">
        <v>90</v>
      </c>
      <c r="CN4" s="3" t="s">
        <v>91</v>
      </c>
      <c r="CO4" s="3" t="s">
        <v>92</v>
      </c>
      <c r="CP4" s="3" t="s">
        <v>93</v>
      </c>
      <c r="CQ4" s="3" t="s">
        <v>94</v>
      </c>
      <c r="CR4" s="3" t="s">
        <v>95</v>
      </c>
      <c r="CS4" s="3" t="s">
        <v>96</v>
      </c>
      <c r="CT4" s="3" t="s">
        <v>97</v>
      </c>
      <c r="CU4" s="3" t="s">
        <v>98</v>
      </c>
      <c r="CV4" s="3" t="s">
        <v>99</v>
      </c>
      <c r="CW4" s="3" t="s">
        <v>100</v>
      </c>
      <c r="CX4" s="3" t="s">
        <v>101</v>
      </c>
      <c r="CY4" s="3" t="s">
        <v>102</v>
      </c>
      <c r="CZ4" s="3" t="s">
        <v>103</v>
      </c>
      <c r="DA4" s="3" t="s">
        <v>104</v>
      </c>
      <c r="DB4" s="3" t="s">
        <v>105</v>
      </c>
      <c r="DC4" s="3" t="s">
        <v>106</v>
      </c>
    </row>
    <row r="5" spans="1:115" ht="22.5" customHeight="1" x14ac:dyDescent="0.4">
      <c r="A5" s="1">
        <v>46197.104298391205</v>
      </c>
      <c r="B5" s="2" t="s">
        <v>107</v>
      </c>
      <c r="C5" s="2">
        <v>5</v>
      </c>
      <c r="D5" s="2">
        <v>5</v>
      </c>
      <c r="E5" s="2" t="s">
        <v>108</v>
      </c>
      <c r="F5" s="2" t="s">
        <v>109</v>
      </c>
      <c r="G5" s="2">
        <v>5</v>
      </c>
      <c r="H5" s="2">
        <v>3</v>
      </c>
      <c r="I5" s="2">
        <v>5</v>
      </c>
      <c r="J5" s="2">
        <v>5</v>
      </c>
      <c r="K5" s="2">
        <v>5</v>
      </c>
      <c r="L5" s="2">
        <v>5</v>
      </c>
      <c r="M5" s="2">
        <v>3</v>
      </c>
      <c r="N5" s="2">
        <v>4</v>
      </c>
      <c r="O5" s="2">
        <v>5</v>
      </c>
      <c r="P5" s="2">
        <v>5</v>
      </c>
      <c r="Q5" s="2">
        <v>5</v>
      </c>
      <c r="R5" s="2">
        <v>5</v>
      </c>
      <c r="S5" s="2">
        <v>5</v>
      </c>
      <c r="T5" s="2">
        <v>5</v>
      </c>
      <c r="U5" s="2">
        <v>5</v>
      </c>
      <c r="V5" s="2">
        <v>5</v>
      </c>
      <c r="W5" s="2">
        <v>5</v>
      </c>
      <c r="X5" s="2">
        <v>4</v>
      </c>
      <c r="Y5" s="2">
        <v>5</v>
      </c>
      <c r="Z5" s="2">
        <v>5</v>
      </c>
      <c r="AA5" s="2">
        <v>5</v>
      </c>
      <c r="AB5" s="2">
        <v>5</v>
      </c>
      <c r="AC5" s="2">
        <v>5</v>
      </c>
      <c r="AD5" s="2">
        <v>5</v>
      </c>
      <c r="AE5" s="2">
        <v>2</v>
      </c>
      <c r="AF5" s="2">
        <v>5</v>
      </c>
      <c r="AG5" s="2">
        <v>5</v>
      </c>
      <c r="AH5" s="2">
        <v>3</v>
      </c>
      <c r="AI5" s="2">
        <v>5</v>
      </c>
      <c r="AJ5" s="2">
        <v>5</v>
      </c>
      <c r="AK5" s="2">
        <v>5</v>
      </c>
      <c r="AL5" s="2">
        <v>5</v>
      </c>
      <c r="AM5" s="2">
        <v>5</v>
      </c>
      <c r="AN5" s="2">
        <v>5</v>
      </c>
      <c r="AO5" s="2">
        <v>5</v>
      </c>
      <c r="AP5" s="2">
        <v>5</v>
      </c>
      <c r="AQ5" s="2">
        <v>5</v>
      </c>
      <c r="AR5" s="2">
        <v>5</v>
      </c>
      <c r="AS5" s="2">
        <v>5</v>
      </c>
      <c r="AT5" s="2">
        <v>5</v>
      </c>
      <c r="AU5" s="2">
        <v>5</v>
      </c>
      <c r="AV5" s="2">
        <v>5</v>
      </c>
      <c r="AW5" s="2">
        <v>5</v>
      </c>
      <c r="AX5" s="2">
        <v>5</v>
      </c>
      <c r="AY5" s="2">
        <v>5</v>
      </c>
      <c r="AZ5" s="2">
        <v>5</v>
      </c>
      <c r="BA5" s="2">
        <v>5</v>
      </c>
      <c r="BB5" s="2">
        <v>5</v>
      </c>
      <c r="BC5" s="2">
        <v>5</v>
      </c>
      <c r="BD5" s="2">
        <v>5</v>
      </c>
      <c r="BE5" s="2">
        <v>5</v>
      </c>
      <c r="BF5" s="2">
        <v>5</v>
      </c>
      <c r="BG5" s="2">
        <v>5</v>
      </c>
      <c r="BH5" s="2">
        <v>5</v>
      </c>
      <c r="BI5" s="2">
        <v>5</v>
      </c>
      <c r="BJ5" s="2">
        <v>5</v>
      </c>
      <c r="BK5" s="2">
        <v>5</v>
      </c>
      <c r="BL5" s="2">
        <v>5</v>
      </c>
      <c r="BM5" s="2">
        <v>5</v>
      </c>
      <c r="BN5" s="2">
        <v>5</v>
      </c>
      <c r="BO5" s="2">
        <v>5</v>
      </c>
      <c r="BP5" s="2">
        <v>4</v>
      </c>
      <c r="BQ5" s="2">
        <v>5</v>
      </c>
      <c r="BR5" s="2">
        <v>4</v>
      </c>
      <c r="BS5" s="2">
        <v>5</v>
      </c>
      <c r="BT5" s="2">
        <v>5</v>
      </c>
      <c r="BU5" s="2">
        <v>5</v>
      </c>
      <c r="BV5" s="2">
        <v>5</v>
      </c>
      <c r="BW5" s="2">
        <v>5</v>
      </c>
      <c r="BX5" s="2">
        <v>5</v>
      </c>
      <c r="BY5" s="2">
        <v>4</v>
      </c>
      <c r="BZ5" s="2">
        <v>5</v>
      </c>
      <c r="CA5" s="2">
        <v>3</v>
      </c>
      <c r="CB5" s="2">
        <v>5</v>
      </c>
      <c r="CC5" s="2">
        <v>5</v>
      </c>
      <c r="CD5" s="2">
        <v>5</v>
      </c>
      <c r="CE5" s="2">
        <v>5</v>
      </c>
      <c r="CF5" s="2">
        <v>5</v>
      </c>
      <c r="CG5" s="2">
        <v>4</v>
      </c>
      <c r="CH5" s="2">
        <v>5</v>
      </c>
      <c r="CI5" s="2">
        <v>4</v>
      </c>
      <c r="CJ5" s="2">
        <v>4</v>
      </c>
      <c r="CK5" s="2">
        <v>2</v>
      </c>
      <c r="CL5" s="2">
        <v>4</v>
      </c>
      <c r="CM5" s="2">
        <v>5</v>
      </c>
      <c r="CN5" s="2">
        <v>5</v>
      </c>
      <c r="CO5" s="2">
        <v>5</v>
      </c>
      <c r="CP5" s="2">
        <v>4</v>
      </c>
      <c r="CQ5" s="2">
        <v>5</v>
      </c>
      <c r="CR5" s="2">
        <v>5</v>
      </c>
      <c r="CS5" s="2">
        <v>5</v>
      </c>
      <c r="CT5" s="2">
        <v>5</v>
      </c>
      <c r="CU5" s="2">
        <v>5</v>
      </c>
      <c r="CV5" s="2">
        <v>5</v>
      </c>
      <c r="CW5" s="2">
        <v>5</v>
      </c>
      <c r="CX5" s="2">
        <v>5</v>
      </c>
      <c r="CY5" s="2">
        <v>5</v>
      </c>
      <c r="CZ5" s="2">
        <v>5</v>
      </c>
      <c r="DA5" s="2">
        <v>5</v>
      </c>
      <c r="DB5" s="2">
        <v>5</v>
      </c>
      <c r="DC5" s="2" t="s">
        <v>110</v>
      </c>
      <c r="DH5">
        <v>1</v>
      </c>
      <c r="DI5" t="str">
        <f>CHAR(67+DH5*4)</f>
        <v>G</v>
      </c>
      <c r="DJ5" t="s">
        <v>117</v>
      </c>
      <c r="DK5">
        <f>G2</f>
        <v>3.53</v>
      </c>
    </row>
    <row r="6" spans="1:115" ht="22.5" customHeight="1" x14ac:dyDescent="0.4">
      <c r="A6" s="1">
        <v>46197.602006956018</v>
      </c>
      <c r="B6" s="2" t="s">
        <v>107</v>
      </c>
      <c r="C6" s="2">
        <v>5</v>
      </c>
      <c r="D6" s="2">
        <v>4</v>
      </c>
      <c r="E6" s="2" t="s">
        <v>108</v>
      </c>
      <c r="G6" s="2">
        <v>2</v>
      </c>
      <c r="H6" s="2">
        <v>2</v>
      </c>
      <c r="I6" s="2">
        <v>3</v>
      </c>
      <c r="J6" s="2">
        <v>2</v>
      </c>
      <c r="K6" s="2">
        <v>5</v>
      </c>
      <c r="L6" s="2">
        <v>5</v>
      </c>
      <c r="M6" s="2">
        <v>5</v>
      </c>
      <c r="N6" s="2">
        <v>5</v>
      </c>
      <c r="O6" s="2">
        <v>5</v>
      </c>
      <c r="P6" s="2">
        <v>5</v>
      </c>
      <c r="Q6" s="2">
        <v>5</v>
      </c>
      <c r="R6" s="2">
        <v>5</v>
      </c>
      <c r="S6" s="2">
        <v>5</v>
      </c>
      <c r="T6" s="2">
        <v>5</v>
      </c>
      <c r="U6" s="2">
        <v>5</v>
      </c>
      <c r="V6" s="2">
        <v>5</v>
      </c>
      <c r="W6" s="2">
        <v>5</v>
      </c>
      <c r="X6" s="2">
        <v>3</v>
      </c>
      <c r="Y6" s="2">
        <v>2</v>
      </c>
      <c r="Z6" s="2">
        <v>3</v>
      </c>
      <c r="AA6" s="2">
        <v>4</v>
      </c>
      <c r="AB6" s="2">
        <v>3</v>
      </c>
      <c r="AC6" s="2">
        <v>4</v>
      </c>
      <c r="AD6" s="2">
        <v>5</v>
      </c>
      <c r="AE6" s="2">
        <v>5</v>
      </c>
      <c r="AF6" s="2">
        <v>5</v>
      </c>
      <c r="AG6" s="2">
        <v>5</v>
      </c>
      <c r="AH6" s="2">
        <v>5</v>
      </c>
      <c r="AI6" s="2">
        <v>5</v>
      </c>
      <c r="AJ6" s="2">
        <v>2</v>
      </c>
      <c r="AK6" s="2">
        <v>4</v>
      </c>
      <c r="AL6" s="2">
        <v>4</v>
      </c>
      <c r="AM6" s="2">
        <v>5</v>
      </c>
      <c r="AN6" s="2">
        <v>3</v>
      </c>
      <c r="AO6" s="2">
        <v>4</v>
      </c>
      <c r="AP6" s="2">
        <v>4</v>
      </c>
      <c r="AQ6" s="2">
        <v>5</v>
      </c>
      <c r="AR6" s="2">
        <v>5</v>
      </c>
      <c r="AS6" s="2">
        <v>4</v>
      </c>
      <c r="AT6" s="2">
        <v>5</v>
      </c>
      <c r="AU6" s="2">
        <v>5</v>
      </c>
      <c r="AV6" s="2">
        <v>5</v>
      </c>
      <c r="AW6" s="2">
        <v>5</v>
      </c>
      <c r="AX6" s="2">
        <v>5</v>
      </c>
      <c r="AY6" s="2">
        <v>5</v>
      </c>
      <c r="AZ6" s="2">
        <v>5</v>
      </c>
      <c r="BA6" s="2">
        <v>5</v>
      </c>
      <c r="BB6" s="2">
        <v>5</v>
      </c>
      <c r="BC6" s="2">
        <v>4</v>
      </c>
      <c r="BD6" s="2">
        <v>2</v>
      </c>
      <c r="BE6" s="2">
        <v>4</v>
      </c>
      <c r="BF6" s="2">
        <v>4</v>
      </c>
      <c r="BG6" s="2">
        <v>5</v>
      </c>
      <c r="BH6" s="2">
        <v>5</v>
      </c>
      <c r="BI6" s="2">
        <v>5</v>
      </c>
      <c r="BJ6" s="2">
        <v>5</v>
      </c>
      <c r="BK6" s="2">
        <v>5</v>
      </c>
      <c r="BL6" s="2">
        <v>5</v>
      </c>
      <c r="BM6" s="2">
        <v>5</v>
      </c>
      <c r="BN6" s="2">
        <v>5</v>
      </c>
      <c r="BO6" s="2">
        <v>5</v>
      </c>
      <c r="BP6" s="2">
        <v>3</v>
      </c>
      <c r="BQ6" s="2">
        <v>5</v>
      </c>
      <c r="BR6" s="2">
        <v>3</v>
      </c>
      <c r="BS6" s="2">
        <v>5</v>
      </c>
      <c r="BT6" s="2">
        <v>5</v>
      </c>
      <c r="BU6" s="2">
        <v>5</v>
      </c>
      <c r="BV6" s="2">
        <v>5</v>
      </c>
      <c r="BW6" s="2">
        <v>5</v>
      </c>
      <c r="BX6" s="2">
        <v>3</v>
      </c>
      <c r="BY6" s="2">
        <v>4</v>
      </c>
      <c r="BZ6" s="2">
        <v>4</v>
      </c>
      <c r="CA6" s="2">
        <v>5</v>
      </c>
      <c r="CB6" s="2">
        <v>5</v>
      </c>
      <c r="CC6" s="2">
        <v>5</v>
      </c>
      <c r="CD6" s="2">
        <v>5</v>
      </c>
      <c r="CE6" s="2">
        <v>5</v>
      </c>
      <c r="CF6" s="2">
        <v>5</v>
      </c>
      <c r="CG6" s="2">
        <v>5</v>
      </c>
      <c r="CH6" s="2">
        <v>5</v>
      </c>
      <c r="CI6" s="2">
        <v>4</v>
      </c>
      <c r="CJ6" s="2">
        <v>3</v>
      </c>
      <c r="CK6" s="2">
        <v>4</v>
      </c>
      <c r="CL6" s="2">
        <v>3</v>
      </c>
      <c r="CM6" s="2">
        <v>4</v>
      </c>
      <c r="CN6" s="2">
        <v>3</v>
      </c>
      <c r="CO6" s="2">
        <v>3</v>
      </c>
      <c r="CP6" s="2">
        <v>3</v>
      </c>
      <c r="CQ6" s="2">
        <v>5</v>
      </c>
      <c r="CR6" s="2">
        <v>5</v>
      </c>
      <c r="CS6" s="2">
        <v>5</v>
      </c>
      <c r="CT6" s="2">
        <v>5</v>
      </c>
      <c r="CU6" s="2">
        <v>5</v>
      </c>
      <c r="CV6" s="2">
        <v>5</v>
      </c>
      <c r="CW6" s="2">
        <v>5</v>
      </c>
      <c r="CX6" s="2">
        <v>5</v>
      </c>
      <c r="CY6" s="2">
        <v>5</v>
      </c>
      <c r="CZ6" s="2">
        <v>5</v>
      </c>
      <c r="DA6" s="2">
        <v>5</v>
      </c>
      <c r="DB6" s="2">
        <v>5</v>
      </c>
      <c r="DC6" s="2" t="s">
        <v>111</v>
      </c>
      <c r="DH6">
        <v>2</v>
      </c>
      <c r="DI6" t="str">
        <f t="shared" ref="DI6:DI9" si="3">CHAR(67+DH6*4)</f>
        <v>K</v>
      </c>
      <c r="DJ6" t="s">
        <v>118</v>
      </c>
      <c r="DK6">
        <f>K2</f>
        <v>4.05</v>
      </c>
    </row>
    <row r="7" spans="1:115" ht="22.5" customHeight="1" x14ac:dyDescent="0.4">
      <c r="A7" s="1">
        <v>46197.619040937498</v>
      </c>
      <c r="B7" s="2" t="s">
        <v>112</v>
      </c>
      <c r="C7" s="2">
        <v>5</v>
      </c>
      <c r="D7" s="2">
        <v>5</v>
      </c>
      <c r="E7" s="2" t="s">
        <v>108</v>
      </c>
      <c r="G7" s="2">
        <v>3</v>
      </c>
      <c r="H7" s="2">
        <v>3</v>
      </c>
      <c r="I7" s="2">
        <v>3</v>
      </c>
      <c r="J7" s="2">
        <v>3</v>
      </c>
      <c r="K7" s="2">
        <v>3</v>
      </c>
      <c r="L7" s="2">
        <v>3</v>
      </c>
      <c r="M7" s="2">
        <v>2</v>
      </c>
      <c r="N7" s="2">
        <v>3</v>
      </c>
      <c r="O7" s="2">
        <v>2</v>
      </c>
      <c r="P7" s="2">
        <v>3</v>
      </c>
      <c r="Q7" s="2">
        <v>3</v>
      </c>
      <c r="R7" s="2">
        <v>2</v>
      </c>
      <c r="S7" s="2">
        <v>3</v>
      </c>
      <c r="T7" s="2">
        <v>3</v>
      </c>
      <c r="U7" s="2">
        <v>2</v>
      </c>
      <c r="V7" s="2">
        <v>2</v>
      </c>
      <c r="W7" s="2">
        <v>3</v>
      </c>
      <c r="X7" s="2">
        <v>3</v>
      </c>
      <c r="Y7" s="2">
        <v>2</v>
      </c>
      <c r="Z7" s="2">
        <v>2</v>
      </c>
      <c r="AA7" s="2">
        <v>3</v>
      </c>
      <c r="AB7" s="2">
        <v>3</v>
      </c>
      <c r="AC7" s="2">
        <v>2</v>
      </c>
      <c r="AD7" s="2">
        <v>3</v>
      </c>
      <c r="AE7" s="2">
        <v>4</v>
      </c>
      <c r="AF7" s="2">
        <v>2</v>
      </c>
      <c r="AG7" s="2">
        <v>3</v>
      </c>
      <c r="AH7" s="2">
        <v>3</v>
      </c>
      <c r="AI7" s="2">
        <v>3</v>
      </c>
      <c r="AJ7" s="2">
        <v>3</v>
      </c>
      <c r="AK7" s="2">
        <v>3</v>
      </c>
      <c r="AL7" s="2">
        <v>3</v>
      </c>
      <c r="AM7" s="2">
        <v>4</v>
      </c>
      <c r="AN7" s="2">
        <v>3</v>
      </c>
      <c r="AO7" s="2">
        <v>3</v>
      </c>
      <c r="AP7" s="2">
        <v>3</v>
      </c>
      <c r="AQ7" s="2">
        <v>4</v>
      </c>
      <c r="AR7" s="2">
        <v>2</v>
      </c>
      <c r="AS7" s="2">
        <v>4</v>
      </c>
      <c r="AT7" s="2">
        <v>3</v>
      </c>
      <c r="AU7" s="2">
        <v>3</v>
      </c>
      <c r="AV7" s="2">
        <v>3</v>
      </c>
      <c r="AW7" s="2">
        <v>3</v>
      </c>
      <c r="AX7" s="2">
        <v>3</v>
      </c>
      <c r="AY7" s="2">
        <v>3</v>
      </c>
      <c r="AZ7" s="2">
        <v>3</v>
      </c>
      <c r="BA7" s="2">
        <v>3</v>
      </c>
      <c r="BB7" s="2">
        <v>3</v>
      </c>
      <c r="BC7" s="2">
        <v>3</v>
      </c>
      <c r="BD7" s="2">
        <v>3</v>
      </c>
      <c r="BE7" s="2">
        <v>3</v>
      </c>
      <c r="BF7" s="2">
        <v>3</v>
      </c>
      <c r="BG7" s="2">
        <v>4</v>
      </c>
      <c r="BH7" s="2">
        <v>3</v>
      </c>
      <c r="BI7" s="2">
        <v>2</v>
      </c>
      <c r="BJ7" s="2">
        <v>3</v>
      </c>
      <c r="BK7" s="2">
        <v>3</v>
      </c>
      <c r="BL7" s="2">
        <v>3</v>
      </c>
      <c r="BM7" s="2">
        <v>2</v>
      </c>
      <c r="BN7" s="2">
        <v>3</v>
      </c>
      <c r="BO7" s="2">
        <v>3</v>
      </c>
      <c r="BP7" s="2">
        <v>3</v>
      </c>
      <c r="BQ7" s="2">
        <v>2</v>
      </c>
      <c r="BR7" s="2">
        <v>3</v>
      </c>
      <c r="BS7" s="2">
        <v>3</v>
      </c>
      <c r="BT7" s="2">
        <v>2</v>
      </c>
      <c r="BU7" s="2">
        <v>3</v>
      </c>
      <c r="BV7" s="2">
        <v>2</v>
      </c>
      <c r="BW7" s="2">
        <v>3</v>
      </c>
      <c r="BX7" s="2">
        <v>3</v>
      </c>
      <c r="BY7" s="2">
        <v>3</v>
      </c>
      <c r="BZ7" s="2">
        <v>3</v>
      </c>
      <c r="CA7" s="2">
        <v>3</v>
      </c>
      <c r="CB7" s="2">
        <v>3</v>
      </c>
      <c r="CC7" s="2">
        <v>3</v>
      </c>
      <c r="CD7" s="2">
        <v>3</v>
      </c>
      <c r="CE7" s="2">
        <v>3</v>
      </c>
      <c r="CF7" s="2">
        <v>3</v>
      </c>
      <c r="CG7" s="2">
        <v>3</v>
      </c>
      <c r="CH7" s="2">
        <v>3</v>
      </c>
      <c r="CI7" s="2">
        <v>3</v>
      </c>
      <c r="CJ7" s="2">
        <v>3</v>
      </c>
      <c r="CK7" s="2">
        <v>3</v>
      </c>
      <c r="CL7" s="2">
        <v>3</v>
      </c>
      <c r="CM7" s="2">
        <v>3</v>
      </c>
      <c r="CN7" s="2">
        <v>3</v>
      </c>
      <c r="CO7" s="2">
        <v>3</v>
      </c>
      <c r="CP7" s="2">
        <v>3</v>
      </c>
      <c r="CQ7" s="2">
        <v>3</v>
      </c>
      <c r="CR7" s="2">
        <v>3</v>
      </c>
      <c r="CS7" s="2">
        <v>3</v>
      </c>
      <c r="CT7" s="2">
        <v>3</v>
      </c>
      <c r="CU7" s="2">
        <v>3</v>
      </c>
      <c r="CV7" s="2">
        <v>3</v>
      </c>
      <c r="CW7" s="2">
        <v>3</v>
      </c>
      <c r="CX7" s="2">
        <v>3</v>
      </c>
      <c r="CY7" s="2">
        <v>3</v>
      </c>
      <c r="CZ7" s="2">
        <v>3</v>
      </c>
      <c r="DA7" s="2">
        <v>3</v>
      </c>
      <c r="DB7" s="2">
        <v>3</v>
      </c>
      <c r="DC7" s="2" t="s">
        <v>111</v>
      </c>
      <c r="DH7">
        <v>3</v>
      </c>
      <c r="DI7" t="str">
        <f t="shared" si="3"/>
        <v>O</v>
      </c>
      <c r="DJ7" t="s">
        <v>119</v>
      </c>
      <c r="DK7">
        <f>O2</f>
        <v>4.18</v>
      </c>
    </row>
    <row r="8" spans="1:115" ht="22.5" customHeight="1" x14ac:dyDescent="0.4">
      <c r="A8" s="1">
        <v>46198.52585366898</v>
      </c>
      <c r="B8" s="2" t="s">
        <v>113</v>
      </c>
      <c r="C8" s="2">
        <v>3</v>
      </c>
      <c r="D8" s="2">
        <v>4</v>
      </c>
      <c r="E8" s="2" t="s">
        <v>108</v>
      </c>
      <c r="G8" s="2">
        <v>4</v>
      </c>
      <c r="H8" s="2">
        <v>3</v>
      </c>
      <c r="I8" s="2">
        <v>4</v>
      </c>
      <c r="J8" s="2">
        <v>3</v>
      </c>
      <c r="K8" s="2">
        <v>3</v>
      </c>
      <c r="L8" s="2">
        <v>5</v>
      </c>
      <c r="M8" s="2">
        <v>5</v>
      </c>
      <c r="N8" s="2">
        <v>4</v>
      </c>
      <c r="O8" s="2">
        <v>4</v>
      </c>
      <c r="P8" s="2">
        <v>4</v>
      </c>
      <c r="Q8" s="2">
        <v>1</v>
      </c>
      <c r="R8" s="2">
        <v>3</v>
      </c>
      <c r="S8" s="2">
        <v>5</v>
      </c>
      <c r="T8" s="2">
        <v>4</v>
      </c>
      <c r="U8" s="2">
        <v>5</v>
      </c>
      <c r="V8" s="2">
        <v>5</v>
      </c>
      <c r="W8" s="2">
        <v>2</v>
      </c>
      <c r="X8" s="2">
        <v>1</v>
      </c>
      <c r="Y8" s="2">
        <v>2</v>
      </c>
      <c r="Z8" s="2">
        <v>2</v>
      </c>
      <c r="AA8" s="2">
        <v>4</v>
      </c>
      <c r="AB8" s="2">
        <v>4</v>
      </c>
      <c r="AC8" s="2">
        <v>5</v>
      </c>
      <c r="AD8" s="2">
        <v>4</v>
      </c>
      <c r="AE8" s="2">
        <v>3</v>
      </c>
      <c r="AF8" s="2">
        <v>4</v>
      </c>
      <c r="AG8" s="2">
        <v>4</v>
      </c>
      <c r="AH8" s="2">
        <v>4</v>
      </c>
      <c r="AI8" s="2">
        <v>4</v>
      </c>
      <c r="AJ8" s="2">
        <v>4</v>
      </c>
      <c r="AK8" s="2">
        <v>3</v>
      </c>
      <c r="AL8" s="2">
        <v>5</v>
      </c>
      <c r="AM8" s="2">
        <v>3</v>
      </c>
      <c r="AN8" s="2">
        <v>1</v>
      </c>
      <c r="AO8" s="2">
        <v>3</v>
      </c>
      <c r="AP8" s="2">
        <v>2</v>
      </c>
      <c r="AQ8" s="2">
        <v>4</v>
      </c>
      <c r="AR8" s="2">
        <v>3</v>
      </c>
      <c r="AS8" s="2">
        <v>4</v>
      </c>
      <c r="AT8" s="2">
        <v>5</v>
      </c>
      <c r="AU8" s="2">
        <v>5</v>
      </c>
      <c r="AV8" s="2">
        <v>5</v>
      </c>
      <c r="AW8" s="2">
        <v>5</v>
      </c>
      <c r="AX8" s="2">
        <v>5</v>
      </c>
      <c r="AY8" s="2">
        <v>5</v>
      </c>
      <c r="AZ8" s="2">
        <v>4</v>
      </c>
      <c r="BA8" s="2">
        <v>5</v>
      </c>
      <c r="BB8" s="2">
        <v>5</v>
      </c>
      <c r="BC8" s="2">
        <v>4</v>
      </c>
      <c r="BD8" s="2">
        <v>3</v>
      </c>
      <c r="BE8" s="2">
        <v>3</v>
      </c>
      <c r="BF8" s="2">
        <v>4</v>
      </c>
      <c r="BG8" s="2">
        <v>3</v>
      </c>
      <c r="BH8" s="2">
        <v>2</v>
      </c>
      <c r="BI8" s="2">
        <v>3</v>
      </c>
      <c r="BJ8" s="2">
        <v>3</v>
      </c>
      <c r="BK8" s="2">
        <v>5</v>
      </c>
      <c r="BL8" s="2">
        <v>5</v>
      </c>
      <c r="BM8" s="2">
        <v>2</v>
      </c>
      <c r="BN8" s="2">
        <v>5</v>
      </c>
      <c r="BO8" s="2">
        <v>3</v>
      </c>
      <c r="BP8" s="2">
        <v>2</v>
      </c>
      <c r="BQ8" s="2">
        <v>4</v>
      </c>
      <c r="BR8" s="2">
        <v>4</v>
      </c>
      <c r="BS8" s="2">
        <v>4</v>
      </c>
      <c r="BT8" s="2">
        <v>2</v>
      </c>
      <c r="BU8" s="2">
        <v>3</v>
      </c>
      <c r="BV8" s="2">
        <v>3</v>
      </c>
      <c r="BW8" s="2">
        <v>5</v>
      </c>
      <c r="BX8" s="2">
        <v>5</v>
      </c>
      <c r="BY8" s="2">
        <v>4</v>
      </c>
      <c r="BZ8" s="2">
        <v>5</v>
      </c>
      <c r="CA8" s="2">
        <v>2</v>
      </c>
      <c r="CB8" s="2">
        <v>2</v>
      </c>
      <c r="CC8" s="2">
        <v>3</v>
      </c>
      <c r="CD8" s="2">
        <v>3</v>
      </c>
      <c r="CE8" s="2">
        <v>3</v>
      </c>
      <c r="CF8" s="2">
        <v>2</v>
      </c>
      <c r="CG8" s="2">
        <v>2</v>
      </c>
      <c r="CH8" s="2">
        <v>3</v>
      </c>
      <c r="CI8" s="2">
        <v>3</v>
      </c>
      <c r="CJ8" s="2">
        <v>4</v>
      </c>
      <c r="CK8" s="2">
        <v>3</v>
      </c>
      <c r="CL8" s="2">
        <v>5</v>
      </c>
      <c r="CM8" s="2">
        <v>3</v>
      </c>
      <c r="CN8" s="2">
        <v>2</v>
      </c>
      <c r="CO8" s="2">
        <v>5</v>
      </c>
      <c r="CP8" s="2">
        <v>4</v>
      </c>
      <c r="CQ8" s="2">
        <v>3</v>
      </c>
      <c r="CR8" s="2">
        <v>2</v>
      </c>
      <c r="CS8" s="2">
        <v>4</v>
      </c>
      <c r="CT8" s="2">
        <v>4</v>
      </c>
      <c r="CU8" s="2">
        <v>5</v>
      </c>
      <c r="CV8" s="2">
        <v>5</v>
      </c>
      <c r="CW8" s="2">
        <v>5</v>
      </c>
      <c r="CX8" s="2">
        <v>5</v>
      </c>
      <c r="CY8" s="2">
        <v>4</v>
      </c>
      <c r="CZ8" s="2">
        <v>4</v>
      </c>
      <c r="DA8" s="2">
        <v>3</v>
      </c>
      <c r="DB8" s="2">
        <v>4</v>
      </c>
      <c r="DC8" s="2" t="s">
        <v>114</v>
      </c>
      <c r="DH8">
        <v>4</v>
      </c>
      <c r="DI8" t="str">
        <f t="shared" si="3"/>
        <v>S</v>
      </c>
      <c r="DJ8" t="s">
        <v>120</v>
      </c>
      <c r="DK8">
        <f>S2</f>
        <v>4.2300000000000004</v>
      </c>
    </row>
    <row r="9" spans="1:115" ht="22.5" customHeight="1" x14ac:dyDescent="0.4">
      <c r="A9" s="1">
        <v>46198.72461863426</v>
      </c>
      <c r="B9" s="2" t="s">
        <v>113</v>
      </c>
      <c r="C9" s="2">
        <v>4</v>
      </c>
      <c r="D9" s="2">
        <v>5</v>
      </c>
      <c r="E9" s="2" t="s">
        <v>108</v>
      </c>
      <c r="G9" s="2">
        <v>3</v>
      </c>
      <c r="H9" s="2">
        <v>3</v>
      </c>
      <c r="I9" s="2">
        <v>3</v>
      </c>
      <c r="J9" s="2">
        <v>3</v>
      </c>
      <c r="K9" s="2">
        <v>4</v>
      </c>
      <c r="L9" s="2">
        <v>4</v>
      </c>
      <c r="M9" s="2">
        <v>3</v>
      </c>
      <c r="N9" s="2">
        <v>4</v>
      </c>
      <c r="O9" s="2">
        <v>4</v>
      </c>
      <c r="P9" s="2">
        <v>5</v>
      </c>
      <c r="Q9" s="2">
        <v>4</v>
      </c>
      <c r="R9" s="2">
        <v>4</v>
      </c>
      <c r="S9" s="2">
        <v>3</v>
      </c>
      <c r="T9" s="2">
        <v>3</v>
      </c>
      <c r="U9" s="2">
        <v>3</v>
      </c>
      <c r="V9" s="2">
        <v>3</v>
      </c>
      <c r="W9" s="2">
        <v>3</v>
      </c>
      <c r="X9" s="2">
        <v>3</v>
      </c>
      <c r="Y9" s="2">
        <v>3</v>
      </c>
      <c r="Z9" s="2">
        <v>3</v>
      </c>
      <c r="AA9" s="2">
        <v>3</v>
      </c>
      <c r="AB9" s="2">
        <v>3</v>
      </c>
      <c r="AC9" s="2">
        <v>3</v>
      </c>
      <c r="AD9" s="2">
        <v>3</v>
      </c>
      <c r="AE9" s="2">
        <v>5</v>
      </c>
      <c r="AF9" s="2">
        <v>4</v>
      </c>
      <c r="AG9" s="2">
        <v>4</v>
      </c>
      <c r="AH9" s="2">
        <v>3</v>
      </c>
      <c r="AI9" s="2">
        <v>4</v>
      </c>
      <c r="AJ9" s="2">
        <v>4</v>
      </c>
      <c r="AK9" s="2">
        <v>4</v>
      </c>
      <c r="AL9" s="2">
        <v>4</v>
      </c>
      <c r="AM9" s="2">
        <v>3</v>
      </c>
      <c r="AN9" s="2">
        <v>3</v>
      </c>
      <c r="AO9" s="2">
        <v>3</v>
      </c>
      <c r="AP9" s="2">
        <v>3</v>
      </c>
      <c r="AQ9" s="2">
        <v>4</v>
      </c>
      <c r="AR9" s="2">
        <v>4</v>
      </c>
      <c r="AS9" s="2">
        <v>4</v>
      </c>
      <c r="AT9" s="2">
        <v>4</v>
      </c>
      <c r="AU9" s="2">
        <v>4</v>
      </c>
      <c r="AV9" s="2">
        <v>5</v>
      </c>
      <c r="AW9" s="2">
        <v>3</v>
      </c>
      <c r="AX9" s="2">
        <v>4</v>
      </c>
      <c r="AY9" s="2">
        <v>3</v>
      </c>
      <c r="AZ9" s="2">
        <v>3</v>
      </c>
      <c r="BA9" s="2">
        <v>3</v>
      </c>
      <c r="BB9" s="2">
        <v>3</v>
      </c>
      <c r="BC9" s="2">
        <v>5</v>
      </c>
      <c r="BD9" s="2">
        <v>5</v>
      </c>
      <c r="BE9" s="2">
        <v>5</v>
      </c>
      <c r="BF9" s="2">
        <v>5</v>
      </c>
      <c r="BG9" s="2">
        <v>3</v>
      </c>
      <c r="BH9" s="2">
        <v>3</v>
      </c>
      <c r="BI9" s="2">
        <v>3</v>
      </c>
      <c r="BJ9" s="2">
        <v>3</v>
      </c>
      <c r="BK9" s="2">
        <v>3</v>
      </c>
      <c r="BL9" s="2">
        <v>4</v>
      </c>
      <c r="BM9" s="2">
        <v>4</v>
      </c>
      <c r="BN9" s="2">
        <v>5</v>
      </c>
      <c r="BO9" s="2">
        <v>3</v>
      </c>
      <c r="BP9" s="2">
        <v>3</v>
      </c>
      <c r="BQ9" s="2">
        <v>3</v>
      </c>
      <c r="BR9" s="2">
        <v>3</v>
      </c>
      <c r="BS9" s="2">
        <v>4</v>
      </c>
      <c r="BT9" s="2">
        <v>4</v>
      </c>
      <c r="BU9" s="2">
        <v>4</v>
      </c>
      <c r="BV9" s="2">
        <v>4</v>
      </c>
      <c r="BW9" s="2">
        <v>4</v>
      </c>
      <c r="BX9" s="2">
        <v>4</v>
      </c>
      <c r="BY9" s="2">
        <v>4</v>
      </c>
      <c r="BZ9" s="2">
        <v>4</v>
      </c>
      <c r="CA9" s="2">
        <v>3</v>
      </c>
      <c r="CB9" s="2">
        <v>3</v>
      </c>
      <c r="CC9" s="2">
        <v>3</v>
      </c>
      <c r="CD9" s="2">
        <v>3</v>
      </c>
      <c r="CE9" s="2">
        <v>4</v>
      </c>
      <c r="CF9" s="2">
        <v>4</v>
      </c>
      <c r="CG9" s="2">
        <v>4</v>
      </c>
      <c r="CH9" s="2">
        <v>4</v>
      </c>
      <c r="CI9" s="2">
        <v>3</v>
      </c>
      <c r="CJ9" s="2">
        <v>3</v>
      </c>
      <c r="CK9" s="2">
        <v>3</v>
      </c>
      <c r="CL9" s="2">
        <v>3</v>
      </c>
      <c r="CM9" s="2">
        <v>3</v>
      </c>
      <c r="CN9" s="2">
        <v>3</v>
      </c>
      <c r="CO9" s="2">
        <v>3</v>
      </c>
      <c r="CP9" s="2">
        <v>3</v>
      </c>
      <c r="CQ9" s="2">
        <v>4</v>
      </c>
      <c r="CR9" s="2">
        <v>4</v>
      </c>
      <c r="CS9" s="2">
        <v>4</v>
      </c>
      <c r="CT9" s="2">
        <v>4</v>
      </c>
      <c r="CU9" s="2">
        <v>3</v>
      </c>
      <c r="CV9" s="2">
        <v>3</v>
      </c>
      <c r="CW9" s="2">
        <v>3</v>
      </c>
      <c r="CX9" s="2">
        <v>3</v>
      </c>
      <c r="CY9" s="2">
        <v>3</v>
      </c>
      <c r="CZ9" s="2">
        <v>3</v>
      </c>
      <c r="DA9" s="2">
        <v>3</v>
      </c>
      <c r="DB9" s="2">
        <v>3</v>
      </c>
      <c r="DC9" s="2" t="s">
        <v>111</v>
      </c>
      <c r="DH9">
        <v>5</v>
      </c>
      <c r="DI9" t="str">
        <f t="shared" si="3"/>
        <v>W</v>
      </c>
      <c r="DJ9" t="s">
        <v>121</v>
      </c>
      <c r="DK9">
        <f>W2</f>
        <v>3.25</v>
      </c>
    </row>
    <row r="10" spans="1:115" ht="22.5" customHeight="1" x14ac:dyDescent="0.4">
      <c r="A10" s="1">
        <v>46200.888591238428</v>
      </c>
      <c r="B10" s="2" t="s">
        <v>113</v>
      </c>
      <c r="C10" s="2">
        <v>2</v>
      </c>
      <c r="D10" s="2">
        <v>3</v>
      </c>
      <c r="E10" s="2" t="s">
        <v>108</v>
      </c>
      <c r="F10" s="2" t="s">
        <v>115</v>
      </c>
      <c r="G10" s="2">
        <v>4</v>
      </c>
      <c r="H10" s="2">
        <v>2</v>
      </c>
      <c r="I10" s="2">
        <v>3</v>
      </c>
      <c r="J10" s="2">
        <v>2</v>
      </c>
      <c r="K10" s="2">
        <v>4</v>
      </c>
      <c r="L10" s="2">
        <v>4</v>
      </c>
      <c r="M10" s="2">
        <v>4</v>
      </c>
      <c r="N10" s="2">
        <v>4</v>
      </c>
      <c r="O10" s="2">
        <v>4</v>
      </c>
      <c r="P10" s="2">
        <v>4</v>
      </c>
      <c r="Q10" s="2">
        <v>4</v>
      </c>
      <c r="R10" s="2">
        <v>4</v>
      </c>
      <c r="S10" s="2">
        <v>4</v>
      </c>
      <c r="T10" s="2">
        <v>4</v>
      </c>
      <c r="U10" s="2">
        <v>4</v>
      </c>
      <c r="V10" s="2">
        <v>4</v>
      </c>
      <c r="W10" s="2">
        <v>4</v>
      </c>
      <c r="X10" s="2">
        <v>2</v>
      </c>
      <c r="Y10" s="2">
        <v>4</v>
      </c>
      <c r="Z10" s="2">
        <v>4</v>
      </c>
      <c r="AA10" s="2">
        <v>4</v>
      </c>
      <c r="AB10" s="2">
        <v>4</v>
      </c>
      <c r="AC10" s="2">
        <v>4</v>
      </c>
      <c r="AD10" s="2">
        <v>4</v>
      </c>
      <c r="AE10" s="2">
        <v>4</v>
      </c>
      <c r="AF10" s="2">
        <v>4</v>
      </c>
      <c r="AG10" s="2">
        <v>4</v>
      </c>
      <c r="AH10" s="2">
        <v>4</v>
      </c>
      <c r="AI10" s="2">
        <v>4</v>
      </c>
      <c r="AJ10" s="2">
        <v>4</v>
      </c>
      <c r="AK10" s="2">
        <v>4</v>
      </c>
      <c r="AL10" s="2">
        <v>4</v>
      </c>
      <c r="AM10" s="2">
        <v>4</v>
      </c>
      <c r="AN10" s="2">
        <v>4</v>
      </c>
      <c r="AO10" s="2">
        <v>4</v>
      </c>
      <c r="AP10" s="2">
        <v>4</v>
      </c>
      <c r="AQ10" s="2">
        <v>4</v>
      </c>
      <c r="AR10" s="2">
        <v>4</v>
      </c>
      <c r="AS10" s="2">
        <v>4</v>
      </c>
      <c r="AT10" s="2">
        <v>4</v>
      </c>
      <c r="AU10" s="2">
        <v>4</v>
      </c>
      <c r="AV10" s="2">
        <v>4</v>
      </c>
      <c r="AW10" s="2">
        <v>4</v>
      </c>
      <c r="AX10" s="2">
        <v>4</v>
      </c>
      <c r="AY10" s="2">
        <v>4</v>
      </c>
      <c r="AZ10" s="2">
        <v>4</v>
      </c>
      <c r="BA10" s="2">
        <v>4</v>
      </c>
      <c r="BB10" s="2">
        <v>4</v>
      </c>
      <c r="BC10" s="2">
        <v>4</v>
      </c>
      <c r="BD10" s="2">
        <v>3</v>
      </c>
      <c r="BE10" s="2">
        <v>4</v>
      </c>
      <c r="BF10" s="2">
        <v>3</v>
      </c>
      <c r="BG10" s="2">
        <v>3</v>
      </c>
      <c r="BH10" s="2">
        <v>3</v>
      </c>
      <c r="BI10" s="2">
        <v>3</v>
      </c>
      <c r="BJ10" s="2">
        <v>2</v>
      </c>
      <c r="BK10" s="2">
        <v>4</v>
      </c>
      <c r="BL10" s="2">
        <v>4</v>
      </c>
      <c r="BM10" s="2">
        <v>4</v>
      </c>
      <c r="BN10" s="2">
        <v>4</v>
      </c>
      <c r="BO10" s="2">
        <v>3</v>
      </c>
      <c r="BP10" s="2">
        <v>3</v>
      </c>
      <c r="BQ10" s="2">
        <v>3</v>
      </c>
      <c r="BR10" s="2">
        <v>3</v>
      </c>
      <c r="BS10" s="2">
        <v>4</v>
      </c>
      <c r="BT10" s="2">
        <v>4</v>
      </c>
      <c r="BU10" s="2">
        <v>4</v>
      </c>
      <c r="BV10" s="2">
        <v>4</v>
      </c>
      <c r="BW10" s="2">
        <v>3</v>
      </c>
      <c r="BX10" s="2">
        <v>3</v>
      </c>
      <c r="BY10" s="2">
        <v>3</v>
      </c>
      <c r="BZ10" s="2">
        <v>3</v>
      </c>
      <c r="CA10" s="2">
        <v>2</v>
      </c>
      <c r="CB10" s="2">
        <v>2</v>
      </c>
      <c r="CC10" s="2">
        <v>2</v>
      </c>
      <c r="CD10" s="2">
        <v>2</v>
      </c>
      <c r="CE10" s="2">
        <v>1</v>
      </c>
      <c r="CF10" s="2">
        <v>1</v>
      </c>
      <c r="CG10" s="2">
        <v>1</v>
      </c>
      <c r="CH10" s="2">
        <v>1</v>
      </c>
      <c r="CI10" s="2">
        <v>4</v>
      </c>
      <c r="CJ10" s="2">
        <v>4</v>
      </c>
      <c r="CK10" s="2">
        <v>4</v>
      </c>
      <c r="CL10" s="2">
        <v>4</v>
      </c>
      <c r="CM10" s="2">
        <v>3</v>
      </c>
      <c r="CN10" s="2">
        <v>3</v>
      </c>
      <c r="CO10" s="2">
        <v>3</v>
      </c>
      <c r="CP10" s="2">
        <v>3</v>
      </c>
      <c r="CQ10" s="2">
        <v>4</v>
      </c>
      <c r="CR10" s="2">
        <v>4</v>
      </c>
      <c r="CS10" s="2">
        <v>4</v>
      </c>
      <c r="CT10" s="2">
        <v>4</v>
      </c>
      <c r="CU10" s="2">
        <v>4</v>
      </c>
      <c r="CV10" s="2">
        <v>4</v>
      </c>
      <c r="CW10" s="2">
        <v>4</v>
      </c>
      <c r="CX10" s="2">
        <v>4</v>
      </c>
      <c r="CY10" s="2">
        <v>4</v>
      </c>
      <c r="CZ10" s="2">
        <v>4</v>
      </c>
      <c r="DA10" s="2">
        <v>4</v>
      </c>
      <c r="DB10" s="2">
        <v>4</v>
      </c>
      <c r="DC10" s="2" t="s">
        <v>110</v>
      </c>
      <c r="DH10">
        <v>1</v>
      </c>
      <c r="DI10" t="str">
        <f>CHAR(61+DH10*4)</f>
        <v>A</v>
      </c>
      <c r="DJ10" t="s">
        <v>122</v>
      </c>
      <c r="DK10">
        <f>AA2</f>
        <v>3.93</v>
      </c>
    </row>
    <row r="11" spans="1:115" ht="22.5" customHeight="1" x14ac:dyDescent="0.4">
      <c r="A11" s="1">
        <v>46201.966827789351</v>
      </c>
      <c r="B11" s="2" t="s">
        <v>107</v>
      </c>
      <c r="C11" s="2">
        <v>4</v>
      </c>
      <c r="D11" s="2">
        <v>4</v>
      </c>
      <c r="E11" s="2" t="s">
        <v>108</v>
      </c>
      <c r="F11" s="2" t="s">
        <v>116</v>
      </c>
      <c r="G11" s="2">
        <v>4</v>
      </c>
      <c r="H11" s="2">
        <v>3</v>
      </c>
      <c r="I11" s="2">
        <v>4</v>
      </c>
      <c r="J11" s="2">
        <v>4</v>
      </c>
      <c r="K11" s="2">
        <v>4</v>
      </c>
      <c r="L11" s="2">
        <v>4</v>
      </c>
      <c r="M11" s="2">
        <v>4</v>
      </c>
      <c r="N11" s="2">
        <v>4</v>
      </c>
      <c r="O11" s="2">
        <v>4</v>
      </c>
      <c r="P11" s="2">
        <v>4</v>
      </c>
      <c r="Q11" s="2">
        <v>4</v>
      </c>
      <c r="R11" s="2">
        <v>4</v>
      </c>
      <c r="S11" s="2">
        <v>4</v>
      </c>
      <c r="T11" s="2">
        <v>4</v>
      </c>
      <c r="U11" s="2">
        <v>4</v>
      </c>
      <c r="V11" s="2">
        <v>4</v>
      </c>
      <c r="W11" s="2">
        <v>4</v>
      </c>
      <c r="X11" s="2">
        <v>4</v>
      </c>
      <c r="Y11" s="2">
        <v>4</v>
      </c>
      <c r="Z11" s="2">
        <v>4</v>
      </c>
      <c r="AA11" s="2">
        <v>4</v>
      </c>
      <c r="AB11" s="2">
        <v>4</v>
      </c>
      <c r="AC11" s="2">
        <v>4</v>
      </c>
      <c r="AD11" s="2">
        <v>4</v>
      </c>
      <c r="AE11" s="2">
        <v>4</v>
      </c>
      <c r="AF11" s="2">
        <v>4</v>
      </c>
      <c r="AG11" s="2">
        <v>4</v>
      </c>
      <c r="AH11" s="2">
        <v>4</v>
      </c>
      <c r="AI11" s="2">
        <v>4</v>
      </c>
      <c r="AJ11" s="2">
        <v>4</v>
      </c>
      <c r="AK11" s="2">
        <v>4</v>
      </c>
      <c r="AL11" s="2">
        <v>4</v>
      </c>
      <c r="AM11" s="2">
        <v>4</v>
      </c>
      <c r="AN11" s="2">
        <v>4</v>
      </c>
      <c r="AO11" s="2">
        <v>4</v>
      </c>
      <c r="AP11" s="2">
        <v>4</v>
      </c>
      <c r="AQ11" s="2">
        <v>4</v>
      </c>
      <c r="AR11" s="2">
        <v>4</v>
      </c>
      <c r="AS11" s="2">
        <v>4</v>
      </c>
      <c r="AT11" s="2">
        <v>4</v>
      </c>
      <c r="AU11" s="2">
        <v>4</v>
      </c>
      <c r="AV11" s="2">
        <v>4</v>
      </c>
      <c r="AW11" s="2">
        <v>4</v>
      </c>
      <c r="AX11" s="2">
        <v>4</v>
      </c>
      <c r="AY11" s="2">
        <v>4</v>
      </c>
      <c r="AZ11" s="2">
        <v>4</v>
      </c>
      <c r="BA11" s="2">
        <v>4</v>
      </c>
      <c r="BB11" s="2">
        <v>4</v>
      </c>
      <c r="BC11" s="2">
        <v>4</v>
      </c>
      <c r="BD11" s="2">
        <v>4</v>
      </c>
      <c r="BE11" s="2">
        <v>4</v>
      </c>
      <c r="BF11" s="2">
        <v>4</v>
      </c>
      <c r="BG11" s="2">
        <v>4</v>
      </c>
      <c r="BH11" s="2">
        <v>4</v>
      </c>
      <c r="BI11" s="2">
        <v>4</v>
      </c>
      <c r="BJ11" s="2">
        <v>4</v>
      </c>
      <c r="BK11" s="2">
        <v>3</v>
      </c>
      <c r="BL11" s="2">
        <v>3</v>
      </c>
      <c r="BM11" s="2">
        <v>3</v>
      </c>
      <c r="BN11" s="2">
        <v>4</v>
      </c>
      <c r="BO11" s="2">
        <v>4</v>
      </c>
      <c r="BP11" s="2">
        <v>4</v>
      </c>
      <c r="BQ11" s="2">
        <v>4</v>
      </c>
      <c r="BR11" s="2">
        <v>4</v>
      </c>
      <c r="BS11" s="2">
        <v>4</v>
      </c>
      <c r="BT11" s="2">
        <v>3</v>
      </c>
      <c r="BU11" s="2">
        <v>4</v>
      </c>
      <c r="BV11" s="2">
        <v>4</v>
      </c>
      <c r="BW11" s="2">
        <v>4</v>
      </c>
      <c r="BX11" s="2">
        <v>3</v>
      </c>
      <c r="BY11" s="2">
        <v>4</v>
      </c>
      <c r="BZ11" s="2">
        <v>4</v>
      </c>
      <c r="CA11" s="2">
        <v>4</v>
      </c>
      <c r="CB11" s="2">
        <v>4</v>
      </c>
      <c r="CC11" s="2">
        <v>4</v>
      </c>
      <c r="CD11" s="2">
        <v>4</v>
      </c>
      <c r="CE11" s="2">
        <v>4</v>
      </c>
      <c r="CF11" s="2">
        <v>3</v>
      </c>
      <c r="CG11" s="2">
        <v>4</v>
      </c>
      <c r="CH11" s="2">
        <v>4</v>
      </c>
      <c r="CI11" s="2">
        <v>4</v>
      </c>
      <c r="CJ11" s="2">
        <v>4</v>
      </c>
      <c r="CK11" s="2">
        <v>4</v>
      </c>
      <c r="CL11" s="2">
        <v>4</v>
      </c>
      <c r="CM11" s="2">
        <v>4</v>
      </c>
      <c r="CN11" s="2">
        <v>4</v>
      </c>
      <c r="CO11" s="2">
        <v>4</v>
      </c>
      <c r="CP11" s="2">
        <v>4</v>
      </c>
      <c r="CQ11" s="2">
        <v>4</v>
      </c>
      <c r="CR11" s="2">
        <v>3</v>
      </c>
      <c r="CS11" s="2">
        <v>4</v>
      </c>
      <c r="CT11" s="2">
        <v>4</v>
      </c>
      <c r="CU11" s="2">
        <v>4</v>
      </c>
      <c r="CV11" s="2">
        <v>3</v>
      </c>
      <c r="CW11" s="2">
        <v>4</v>
      </c>
      <c r="CX11" s="2">
        <v>4</v>
      </c>
      <c r="CY11" s="2">
        <v>4</v>
      </c>
      <c r="CZ11" s="2">
        <v>4</v>
      </c>
      <c r="DA11" s="2">
        <v>4</v>
      </c>
      <c r="DB11" s="2">
        <v>4</v>
      </c>
      <c r="DC11" s="2" t="s">
        <v>114</v>
      </c>
      <c r="DH11">
        <v>2</v>
      </c>
      <c r="DI11" t="str">
        <f t="shared" ref="DI11:DI15" si="4">CHAR(61+DH11*4)</f>
        <v>E</v>
      </c>
      <c r="DJ11" t="s">
        <v>123</v>
      </c>
      <c r="DK11">
        <f>AE2</f>
        <v>3.85</v>
      </c>
    </row>
    <row r="12" spans="1:115" ht="22.5" customHeight="1" x14ac:dyDescent="0.4">
      <c r="A12" s="1">
        <v>46202.463702719906</v>
      </c>
      <c r="B12" s="2" t="s">
        <v>112</v>
      </c>
      <c r="C12" s="2">
        <v>5</v>
      </c>
      <c r="D12" s="2">
        <v>5</v>
      </c>
      <c r="E12" s="2" t="s">
        <v>108</v>
      </c>
      <c r="G12" s="2">
        <v>5</v>
      </c>
      <c r="H12" s="2">
        <v>5</v>
      </c>
      <c r="I12" s="2">
        <v>5</v>
      </c>
      <c r="J12" s="2">
        <v>5</v>
      </c>
      <c r="K12" s="2">
        <v>5</v>
      </c>
      <c r="L12" s="2">
        <v>5</v>
      </c>
      <c r="M12" s="2">
        <v>5</v>
      </c>
      <c r="N12" s="2">
        <v>5</v>
      </c>
      <c r="O12" s="2">
        <v>5</v>
      </c>
      <c r="P12" s="2">
        <v>5</v>
      </c>
      <c r="Q12" s="2">
        <v>5</v>
      </c>
      <c r="R12" s="2">
        <v>5</v>
      </c>
      <c r="S12" s="2">
        <v>5</v>
      </c>
      <c r="T12" s="2">
        <v>5</v>
      </c>
      <c r="U12" s="2">
        <v>5</v>
      </c>
      <c r="V12" s="2">
        <v>5</v>
      </c>
      <c r="W12" s="2">
        <v>4</v>
      </c>
      <c r="X12" s="2">
        <v>4</v>
      </c>
      <c r="Y12" s="2">
        <v>4</v>
      </c>
      <c r="Z12" s="2">
        <v>4</v>
      </c>
      <c r="AA12" s="2">
        <v>5</v>
      </c>
      <c r="AB12" s="2">
        <v>5</v>
      </c>
      <c r="AC12" s="2">
        <v>5</v>
      </c>
      <c r="AD12" s="2">
        <v>5</v>
      </c>
      <c r="AE12" s="2">
        <v>4</v>
      </c>
      <c r="AF12" s="2">
        <v>4</v>
      </c>
      <c r="AG12" s="2">
        <v>4</v>
      </c>
      <c r="AH12" s="2">
        <v>4</v>
      </c>
      <c r="AI12" s="2">
        <v>4</v>
      </c>
      <c r="AJ12" s="2">
        <v>4</v>
      </c>
      <c r="AK12" s="2">
        <v>4</v>
      </c>
      <c r="AL12" s="2">
        <v>4</v>
      </c>
      <c r="AM12" s="2">
        <v>5</v>
      </c>
      <c r="AN12" s="2">
        <v>5</v>
      </c>
      <c r="AO12" s="2">
        <v>5</v>
      </c>
      <c r="AP12" s="2">
        <v>5</v>
      </c>
      <c r="AQ12" s="2">
        <v>4</v>
      </c>
      <c r="AR12" s="2">
        <v>5</v>
      </c>
      <c r="AS12" s="2">
        <v>4</v>
      </c>
      <c r="AT12" s="2">
        <v>4</v>
      </c>
      <c r="AU12" s="2">
        <v>5</v>
      </c>
      <c r="AV12" s="2">
        <v>5</v>
      </c>
      <c r="AW12" s="2">
        <v>5</v>
      </c>
      <c r="AX12" s="2">
        <v>5</v>
      </c>
      <c r="AY12" s="2">
        <v>4</v>
      </c>
      <c r="AZ12" s="2">
        <v>3</v>
      </c>
      <c r="BA12" s="2">
        <v>5</v>
      </c>
      <c r="BB12" s="2">
        <v>5</v>
      </c>
      <c r="BC12" s="2">
        <v>5</v>
      </c>
      <c r="BD12" s="2">
        <v>5</v>
      </c>
      <c r="BE12" s="2">
        <v>5</v>
      </c>
      <c r="BF12" s="2">
        <v>5</v>
      </c>
      <c r="BG12" s="2">
        <v>5</v>
      </c>
      <c r="BH12" s="2">
        <v>5</v>
      </c>
      <c r="BI12" s="2">
        <v>5</v>
      </c>
      <c r="BJ12" s="2">
        <v>5</v>
      </c>
      <c r="BK12" s="2">
        <v>4</v>
      </c>
      <c r="BL12" s="2">
        <v>3</v>
      </c>
      <c r="BM12" s="2">
        <v>4</v>
      </c>
      <c r="BN12" s="2">
        <v>5</v>
      </c>
      <c r="BO12" s="2">
        <v>4</v>
      </c>
      <c r="BP12" s="2">
        <v>5</v>
      </c>
      <c r="BQ12" s="2">
        <v>5</v>
      </c>
      <c r="BR12" s="2">
        <v>4</v>
      </c>
      <c r="BS12" s="2">
        <v>4</v>
      </c>
      <c r="BT12" s="2">
        <v>4</v>
      </c>
      <c r="BU12" s="2">
        <v>5</v>
      </c>
      <c r="BV12" s="2">
        <v>5</v>
      </c>
      <c r="BW12" s="2">
        <v>5</v>
      </c>
      <c r="BX12" s="2">
        <v>4</v>
      </c>
      <c r="BY12" s="2">
        <v>4</v>
      </c>
      <c r="BZ12" s="2">
        <v>4</v>
      </c>
      <c r="CA12" s="2">
        <v>5</v>
      </c>
      <c r="CB12" s="2">
        <v>5</v>
      </c>
      <c r="CC12" s="2">
        <v>5</v>
      </c>
      <c r="CD12" s="2">
        <v>5</v>
      </c>
      <c r="CE12" s="2">
        <v>5</v>
      </c>
      <c r="CF12" s="2">
        <v>5</v>
      </c>
      <c r="CG12" s="2">
        <v>5</v>
      </c>
      <c r="CH12" s="2">
        <v>5</v>
      </c>
      <c r="CI12" s="2">
        <v>5</v>
      </c>
      <c r="CJ12" s="2">
        <v>5</v>
      </c>
      <c r="CK12" s="2">
        <v>5</v>
      </c>
      <c r="CL12" s="2">
        <v>5</v>
      </c>
      <c r="CM12" s="2">
        <v>5</v>
      </c>
      <c r="CN12" s="2">
        <v>5</v>
      </c>
      <c r="CO12" s="2">
        <v>5</v>
      </c>
      <c r="CP12" s="2">
        <v>5</v>
      </c>
      <c r="CQ12" s="2">
        <v>4</v>
      </c>
      <c r="CR12" s="2">
        <v>5</v>
      </c>
      <c r="CS12" s="2">
        <v>5</v>
      </c>
      <c r="CT12" s="2">
        <v>5</v>
      </c>
      <c r="CU12" s="2">
        <v>5</v>
      </c>
      <c r="CV12" s="2">
        <v>3</v>
      </c>
      <c r="CW12" s="2">
        <v>5</v>
      </c>
      <c r="CX12" s="2">
        <v>5</v>
      </c>
      <c r="CY12" s="2">
        <v>4</v>
      </c>
      <c r="CZ12" s="2">
        <v>4</v>
      </c>
      <c r="DA12" s="2">
        <v>4</v>
      </c>
      <c r="DB12" s="2">
        <v>4</v>
      </c>
      <c r="DC12" s="2" t="s">
        <v>114</v>
      </c>
      <c r="DH12">
        <v>3</v>
      </c>
      <c r="DI12" t="str">
        <f t="shared" si="4"/>
        <v>I</v>
      </c>
      <c r="DJ12" t="s">
        <v>124</v>
      </c>
      <c r="DK12">
        <f>AI2</f>
        <v>3.98</v>
      </c>
    </row>
    <row r="13" spans="1:115" ht="22.5" customHeight="1" x14ac:dyDescent="0.4">
      <c r="A13" s="1">
        <v>46202.501892523149</v>
      </c>
      <c r="B13" s="2" t="s">
        <v>112</v>
      </c>
      <c r="C13" s="2">
        <v>1</v>
      </c>
      <c r="D13" s="2">
        <v>2</v>
      </c>
      <c r="E13" s="2" t="s">
        <v>108</v>
      </c>
      <c r="G13" s="2">
        <v>3</v>
      </c>
      <c r="H13" s="2">
        <v>4</v>
      </c>
      <c r="I13" s="2">
        <v>3</v>
      </c>
      <c r="J13" s="2">
        <v>2</v>
      </c>
      <c r="K13" s="2">
        <v>4</v>
      </c>
      <c r="L13" s="2">
        <v>4</v>
      </c>
      <c r="M13" s="2">
        <v>3</v>
      </c>
      <c r="N13" s="2">
        <v>4</v>
      </c>
      <c r="O13" s="2">
        <v>5</v>
      </c>
      <c r="P13" s="2">
        <v>5</v>
      </c>
      <c r="Q13" s="2">
        <v>4</v>
      </c>
      <c r="R13" s="2">
        <v>5</v>
      </c>
      <c r="S13" s="2">
        <v>5</v>
      </c>
      <c r="T13" s="2">
        <v>5</v>
      </c>
      <c r="U13" s="2">
        <v>5</v>
      </c>
      <c r="V13" s="2">
        <v>3</v>
      </c>
      <c r="W13" s="2">
        <v>3</v>
      </c>
      <c r="X13" s="2">
        <v>3</v>
      </c>
      <c r="Y13" s="2">
        <v>2</v>
      </c>
      <c r="Z13" s="2">
        <v>2</v>
      </c>
      <c r="AA13" s="2">
        <v>3</v>
      </c>
      <c r="AB13" s="2">
        <v>3</v>
      </c>
      <c r="AC13" s="2">
        <v>3</v>
      </c>
      <c r="AD13" s="2">
        <v>3</v>
      </c>
      <c r="AE13" s="2">
        <v>4</v>
      </c>
      <c r="AF13" s="2">
        <v>3</v>
      </c>
      <c r="AG13" s="2">
        <v>2</v>
      </c>
      <c r="AH13" s="2">
        <v>3</v>
      </c>
      <c r="AI13" s="2">
        <v>4</v>
      </c>
      <c r="AJ13" s="2">
        <v>4</v>
      </c>
      <c r="AK13" s="2">
        <v>3</v>
      </c>
      <c r="AL13" s="2">
        <v>4</v>
      </c>
      <c r="AM13" s="2">
        <v>3</v>
      </c>
      <c r="AN13" s="2">
        <v>3</v>
      </c>
      <c r="AO13" s="2">
        <v>3</v>
      </c>
      <c r="AP13" s="2">
        <v>4</v>
      </c>
      <c r="AQ13" s="2">
        <v>5</v>
      </c>
      <c r="AR13" s="2">
        <v>4</v>
      </c>
      <c r="AS13" s="2">
        <v>5</v>
      </c>
      <c r="AT13" s="2">
        <v>5</v>
      </c>
      <c r="AU13" s="2">
        <v>4</v>
      </c>
      <c r="AV13" s="2">
        <v>4</v>
      </c>
      <c r="AW13" s="2">
        <v>3</v>
      </c>
      <c r="AX13" s="2">
        <v>4</v>
      </c>
      <c r="AY13" s="2">
        <v>5</v>
      </c>
      <c r="AZ13" s="2">
        <v>5</v>
      </c>
      <c r="BA13" s="2">
        <v>4</v>
      </c>
      <c r="BB13" s="2">
        <v>4</v>
      </c>
      <c r="BC13" s="2">
        <v>3</v>
      </c>
      <c r="BD13" s="2">
        <v>3</v>
      </c>
      <c r="BE13" s="2">
        <v>3</v>
      </c>
      <c r="BF13" s="2">
        <v>2</v>
      </c>
      <c r="BG13" s="2">
        <v>4</v>
      </c>
      <c r="BH13" s="2">
        <v>3</v>
      </c>
      <c r="BI13" s="2">
        <v>3</v>
      </c>
      <c r="BJ13" s="2">
        <v>3</v>
      </c>
      <c r="BK13" s="2">
        <v>3</v>
      </c>
      <c r="BL13" s="2">
        <v>2</v>
      </c>
      <c r="BM13" s="2">
        <v>3</v>
      </c>
      <c r="BN13" s="2">
        <v>2</v>
      </c>
      <c r="BO13" s="2">
        <v>3</v>
      </c>
      <c r="BP13" s="2">
        <v>2</v>
      </c>
      <c r="BQ13" s="2">
        <v>3</v>
      </c>
      <c r="BR13" s="2">
        <v>2</v>
      </c>
      <c r="BS13" s="2">
        <v>2</v>
      </c>
      <c r="BT13" s="2">
        <v>2</v>
      </c>
      <c r="BU13" s="2">
        <v>2</v>
      </c>
      <c r="BV13" s="2">
        <v>2</v>
      </c>
      <c r="BW13" s="2">
        <v>5</v>
      </c>
      <c r="BX13" s="2">
        <v>4</v>
      </c>
      <c r="BY13" s="2">
        <v>4</v>
      </c>
      <c r="BZ13" s="2">
        <v>5</v>
      </c>
      <c r="CA13" s="2">
        <v>3</v>
      </c>
      <c r="CB13" s="2">
        <v>3</v>
      </c>
      <c r="CC13" s="2">
        <v>3</v>
      </c>
      <c r="CD13" s="2">
        <v>3</v>
      </c>
      <c r="CE13" s="2">
        <v>4</v>
      </c>
      <c r="CF13" s="2">
        <v>2</v>
      </c>
      <c r="CG13" s="2">
        <v>3</v>
      </c>
      <c r="CH13" s="2">
        <v>3</v>
      </c>
      <c r="CI13" s="2">
        <v>3</v>
      </c>
      <c r="CJ13" s="2">
        <v>3</v>
      </c>
      <c r="CK13" s="2">
        <v>3</v>
      </c>
      <c r="CL13" s="2">
        <v>3</v>
      </c>
      <c r="CM13" s="2">
        <v>3</v>
      </c>
      <c r="CN13" s="2">
        <v>3</v>
      </c>
      <c r="CO13" s="2">
        <v>3</v>
      </c>
      <c r="CP13" s="2">
        <v>3</v>
      </c>
      <c r="CQ13" s="2">
        <v>5</v>
      </c>
      <c r="CR13" s="2">
        <v>4</v>
      </c>
      <c r="CS13" s="2">
        <v>5</v>
      </c>
      <c r="CT13" s="2">
        <v>5</v>
      </c>
      <c r="CU13" s="2">
        <v>5</v>
      </c>
      <c r="CV13" s="2">
        <v>3</v>
      </c>
      <c r="CW13" s="2">
        <v>3</v>
      </c>
      <c r="CX13" s="2">
        <v>4</v>
      </c>
      <c r="CY13" s="2">
        <v>3</v>
      </c>
      <c r="CZ13" s="2">
        <v>3</v>
      </c>
      <c r="DA13" s="2">
        <v>3</v>
      </c>
      <c r="DB13" s="2">
        <v>3</v>
      </c>
      <c r="DC13" s="2" t="s">
        <v>111</v>
      </c>
      <c r="DH13">
        <v>4</v>
      </c>
      <c r="DI13" t="str">
        <f t="shared" si="4"/>
        <v>M</v>
      </c>
      <c r="DJ13" t="s">
        <v>125</v>
      </c>
    </row>
    <row r="14" spans="1:115" ht="22.5" customHeight="1" x14ac:dyDescent="0.4">
      <c r="A14" s="1">
        <v>46203.93839570602</v>
      </c>
      <c r="B14" s="2" t="s">
        <v>112</v>
      </c>
      <c r="C14" s="2">
        <v>4</v>
      </c>
      <c r="D14" s="2">
        <v>4</v>
      </c>
      <c r="E14" s="2" t="s">
        <v>108</v>
      </c>
      <c r="F14" s="2" t="s">
        <v>174</v>
      </c>
      <c r="G14" s="2">
        <v>5</v>
      </c>
      <c r="H14" s="2">
        <v>4</v>
      </c>
      <c r="I14" s="2">
        <v>4</v>
      </c>
      <c r="J14" s="2">
        <v>5</v>
      </c>
      <c r="K14" s="2">
        <v>5</v>
      </c>
      <c r="L14" s="2">
        <v>3</v>
      </c>
      <c r="M14" s="2">
        <v>3</v>
      </c>
      <c r="N14" s="2">
        <v>4</v>
      </c>
      <c r="O14" s="2">
        <v>5</v>
      </c>
      <c r="P14" s="2">
        <v>3</v>
      </c>
      <c r="Q14" s="2">
        <v>4</v>
      </c>
      <c r="R14" s="2">
        <v>5</v>
      </c>
      <c r="S14" s="2">
        <v>5</v>
      </c>
      <c r="T14" s="2">
        <v>3</v>
      </c>
      <c r="U14" s="2">
        <v>5</v>
      </c>
      <c r="V14" s="2">
        <v>5</v>
      </c>
      <c r="W14" s="2">
        <v>4</v>
      </c>
      <c r="X14" s="2">
        <v>3</v>
      </c>
      <c r="Y14" s="2">
        <v>3</v>
      </c>
      <c r="Z14" s="2">
        <v>3</v>
      </c>
      <c r="AA14" s="2">
        <v>5</v>
      </c>
      <c r="AB14" s="2">
        <v>3</v>
      </c>
      <c r="AC14" s="2">
        <v>4</v>
      </c>
      <c r="AD14" s="2">
        <v>5</v>
      </c>
      <c r="AE14" s="2">
        <v>5</v>
      </c>
      <c r="AF14" s="2">
        <v>3</v>
      </c>
      <c r="AG14" s="2">
        <v>4</v>
      </c>
      <c r="AH14" s="2">
        <v>4</v>
      </c>
      <c r="AI14" s="2">
        <v>5</v>
      </c>
      <c r="AJ14" s="2">
        <v>3</v>
      </c>
      <c r="AK14" s="2">
        <v>4</v>
      </c>
      <c r="AL14" s="2">
        <v>5</v>
      </c>
      <c r="AM14" s="2">
        <v>5</v>
      </c>
      <c r="AN14" s="2">
        <v>3</v>
      </c>
      <c r="AO14" s="2">
        <v>3</v>
      </c>
      <c r="AP14" s="2">
        <v>3</v>
      </c>
      <c r="AQ14" s="2">
        <v>5</v>
      </c>
      <c r="AR14" s="2">
        <v>4</v>
      </c>
      <c r="AS14" s="2">
        <v>5</v>
      </c>
      <c r="AT14" s="2">
        <v>5</v>
      </c>
      <c r="AU14" s="2">
        <v>5</v>
      </c>
      <c r="AV14" s="2">
        <v>3</v>
      </c>
      <c r="AW14" s="2">
        <v>4</v>
      </c>
      <c r="AX14" s="2">
        <v>5</v>
      </c>
      <c r="AY14" s="2">
        <v>5</v>
      </c>
      <c r="AZ14" s="2">
        <v>4</v>
      </c>
      <c r="BA14" s="2">
        <v>4</v>
      </c>
      <c r="BB14" s="2">
        <v>5</v>
      </c>
      <c r="BC14" s="2">
        <v>5</v>
      </c>
      <c r="BD14" s="2">
        <v>4</v>
      </c>
      <c r="BE14" s="2">
        <v>4</v>
      </c>
      <c r="BF14" s="2">
        <v>5</v>
      </c>
      <c r="BG14" s="2">
        <v>3</v>
      </c>
      <c r="BH14" s="2">
        <v>3</v>
      </c>
      <c r="BI14" s="2">
        <v>4</v>
      </c>
      <c r="BJ14" s="2">
        <v>3</v>
      </c>
      <c r="BK14" s="2">
        <v>5</v>
      </c>
      <c r="BL14" s="2">
        <v>3</v>
      </c>
      <c r="BM14" s="2">
        <v>4</v>
      </c>
      <c r="BN14" s="2">
        <v>5</v>
      </c>
      <c r="BO14" s="2">
        <v>5</v>
      </c>
      <c r="BP14" s="2">
        <v>4</v>
      </c>
      <c r="BQ14" s="2">
        <v>5</v>
      </c>
      <c r="BR14" s="2">
        <v>5</v>
      </c>
      <c r="BS14" s="2">
        <v>5</v>
      </c>
      <c r="BT14" s="2">
        <v>3</v>
      </c>
      <c r="BU14" s="2">
        <v>3</v>
      </c>
      <c r="BV14" s="2">
        <v>4</v>
      </c>
      <c r="BW14" s="2">
        <v>5</v>
      </c>
      <c r="BX14" s="2">
        <v>4</v>
      </c>
      <c r="BY14" s="2">
        <v>5</v>
      </c>
      <c r="BZ14" s="2">
        <v>5</v>
      </c>
      <c r="CA14" s="2">
        <v>5</v>
      </c>
      <c r="CB14" s="2">
        <v>3</v>
      </c>
      <c r="CC14" s="2">
        <v>3</v>
      </c>
      <c r="CD14" s="2">
        <v>5</v>
      </c>
      <c r="CE14" s="2">
        <v>5</v>
      </c>
      <c r="CF14" s="2">
        <v>5</v>
      </c>
      <c r="CG14" s="2">
        <v>5</v>
      </c>
      <c r="CH14" s="2">
        <v>5</v>
      </c>
      <c r="CI14" s="2">
        <v>5</v>
      </c>
      <c r="CJ14" s="2">
        <v>4</v>
      </c>
      <c r="CK14" s="2">
        <v>4</v>
      </c>
      <c r="CL14" s="2">
        <v>5</v>
      </c>
      <c r="CM14" s="2">
        <v>5</v>
      </c>
      <c r="CN14" s="2">
        <v>4</v>
      </c>
      <c r="CO14" s="2">
        <v>4</v>
      </c>
      <c r="CP14" s="2">
        <v>5</v>
      </c>
      <c r="CQ14" s="2">
        <v>5</v>
      </c>
      <c r="CR14" s="2">
        <v>3</v>
      </c>
      <c r="CS14" s="2">
        <v>4</v>
      </c>
      <c r="CT14" s="2">
        <v>5</v>
      </c>
      <c r="CU14" s="2">
        <v>5</v>
      </c>
      <c r="CV14" s="2">
        <v>3</v>
      </c>
      <c r="CW14" s="2">
        <v>4</v>
      </c>
      <c r="CX14" s="2">
        <v>5</v>
      </c>
      <c r="CY14" s="2">
        <v>5</v>
      </c>
      <c r="CZ14" s="2">
        <v>4</v>
      </c>
      <c r="DA14" s="2">
        <v>4</v>
      </c>
      <c r="DB14" s="2">
        <v>5</v>
      </c>
      <c r="DC14" s="2" t="s">
        <v>114</v>
      </c>
    </row>
    <row r="15" spans="1:115" ht="15.75" customHeight="1" x14ac:dyDescent="0.4">
      <c r="DH15">
        <v>6</v>
      </c>
      <c r="DI15" t="str">
        <f t="shared" si="4"/>
        <v>U</v>
      </c>
      <c r="DJ15" t="s">
        <v>127</v>
      </c>
    </row>
    <row r="16" spans="1:115" ht="15.75" customHeight="1" x14ac:dyDescent="0.4">
      <c r="DH16">
        <v>12</v>
      </c>
      <c r="DI16" t="str">
        <f t="shared" ref="DI16:DI21" si="5">CHAR(70+DH16)</f>
        <v>R</v>
      </c>
      <c r="DJ16" t="s">
        <v>128</v>
      </c>
    </row>
    <row r="17" spans="1:114" ht="15.75" customHeight="1" x14ac:dyDescent="0.4">
      <c r="DH17">
        <v>13</v>
      </c>
      <c r="DI17" t="str">
        <f t="shared" si="5"/>
        <v>S</v>
      </c>
      <c r="DJ17" t="s">
        <v>129</v>
      </c>
    </row>
    <row r="18" spans="1:114" ht="15.75" customHeight="1" x14ac:dyDescent="0.4">
      <c r="DH18">
        <v>14</v>
      </c>
      <c r="DI18" t="str">
        <f t="shared" si="5"/>
        <v>T</v>
      </c>
      <c r="DJ18" t="s">
        <v>130</v>
      </c>
    </row>
    <row r="19" spans="1:114" ht="15.75" customHeight="1" x14ac:dyDescent="0.4">
      <c r="DH19">
        <v>15</v>
      </c>
      <c r="DI19" t="str">
        <f t="shared" si="5"/>
        <v>U</v>
      </c>
      <c r="DJ19" t="s">
        <v>131</v>
      </c>
    </row>
    <row r="20" spans="1:114" ht="15.75" customHeight="1" x14ac:dyDescent="0.4">
      <c r="DH20">
        <v>16</v>
      </c>
      <c r="DI20" t="str">
        <f t="shared" si="5"/>
        <v>V</v>
      </c>
      <c r="DJ20" t="s">
        <v>132</v>
      </c>
    </row>
    <row r="21" spans="1:114" ht="15.75" customHeight="1" x14ac:dyDescent="0.4">
      <c r="DH21">
        <v>17</v>
      </c>
      <c r="DI21" t="str">
        <f t="shared" si="5"/>
        <v>W</v>
      </c>
      <c r="DJ21" t="s">
        <v>133</v>
      </c>
    </row>
    <row r="22" spans="1:114" ht="12.3" x14ac:dyDescent="0.4">
      <c r="H22">
        <f>((COLUMN()-8)*4)+7</f>
        <v>7</v>
      </c>
      <c r="I22">
        <f t="shared" ref="I22:AF22" si="6">((COLUMN()-8)*4)+7</f>
        <v>11</v>
      </c>
      <c r="J22">
        <f t="shared" si="6"/>
        <v>15</v>
      </c>
      <c r="K22">
        <f t="shared" si="6"/>
        <v>19</v>
      </c>
      <c r="L22">
        <f t="shared" si="6"/>
        <v>23</v>
      </c>
      <c r="M22">
        <f t="shared" si="6"/>
        <v>27</v>
      </c>
      <c r="N22">
        <f t="shared" si="6"/>
        <v>31</v>
      </c>
      <c r="O22">
        <f t="shared" si="6"/>
        <v>35</v>
      </c>
      <c r="P22">
        <f t="shared" si="6"/>
        <v>39</v>
      </c>
      <c r="Q22">
        <f t="shared" si="6"/>
        <v>43</v>
      </c>
      <c r="R22">
        <f t="shared" si="6"/>
        <v>47</v>
      </c>
      <c r="S22">
        <f t="shared" si="6"/>
        <v>51</v>
      </c>
      <c r="T22">
        <f t="shared" si="6"/>
        <v>55</v>
      </c>
      <c r="U22">
        <f t="shared" si="6"/>
        <v>59</v>
      </c>
      <c r="V22">
        <f t="shared" si="6"/>
        <v>63</v>
      </c>
      <c r="W22">
        <f t="shared" si="6"/>
        <v>67</v>
      </c>
      <c r="X22">
        <f t="shared" si="6"/>
        <v>71</v>
      </c>
      <c r="Y22">
        <f t="shared" si="6"/>
        <v>75</v>
      </c>
      <c r="Z22">
        <f t="shared" si="6"/>
        <v>79</v>
      </c>
      <c r="AA22">
        <f t="shared" si="6"/>
        <v>83</v>
      </c>
      <c r="AB22">
        <f t="shared" si="6"/>
        <v>87</v>
      </c>
      <c r="AC22">
        <f t="shared" si="6"/>
        <v>91</v>
      </c>
      <c r="AD22">
        <f t="shared" si="6"/>
        <v>95</v>
      </c>
      <c r="AE22">
        <f t="shared" si="6"/>
        <v>99</v>
      </c>
      <c r="AF22">
        <f t="shared" si="6"/>
        <v>103</v>
      </c>
    </row>
    <row r="23" spans="1:114" ht="12.3" x14ac:dyDescent="0.4">
      <c r="A23" s="6"/>
      <c r="E23" s="11" t="s">
        <v>145</v>
      </c>
      <c r="F23" s="11"/>
      <c r="G23" s="11"/>
      <c r="H23" s="6" cm="1">
        <f t="array" ref="H23">INDEX($A:$FF,3,H$22)</f>
        <v>3.8</v>
      </c>
      <c r="I23" s="6" cm="1">
        <f t="array" ref="I23">INDEX($A:$FF,3,I$22)</f>
        <v>4.2</v>
      </c>
      <c r="J23" s="6" cm="1">
        <f t="array" ref="J23">INDEX($A:$FF,3,J$22)</f>
        <v>4.3</v>
      </c>
      <c r="K23" s="6" cm="1">
        <f t="array" ref="K23">INDEX($A:$FF,3,K$22)</f>
        <v>4.4000000000000004</v>
      </c>
      <c r="L23" s="6" cm="1">
        <f t="array" ref="L23">INDEX($A:$FF,3,L$22)</f>
        <v>3.7</v>
      </c>
      <c r="M23" s="6" cm="1">
        <f t="array" ref="M23">INDEX($A:$FF,3,M$22)</f>
        <v>4</v>
      </c>
      <c r="N23" s="6" cm="1">
        <f t="array" ref="N23">INDEX($A:$FF,3,N$22)</f>
        <v>4</v>
      </c>
      <c r="O23" s="6" cm="1">
        <f t="array" ref="O23">INDEX($A:$FF,3,O$22)</f>
        <v>4.2</v>
      </c>
      <c r="P23" s="6" cm="1">
        <f t="array" ref="P23">INDEX($A:$FF,3,P$22)</f>
        <v>4.0999999999999996</v>
      </c>
      <c r="Q23" s="6" cm="1">
        <f t="array" ref="Q23">INDEX($A:$FF,3,Q$22)</f>
        <v>4.4000000000000004</v>
      </c>
      <c r="R23" s="6" cm="1">
        <f t="array" ref="R23">INDEX($A:$FF,3,R$22)</f>
        <v>4.4000000000000004</v>
      </c>
      <c r="S23" s="6" cm="1">
        <f t="array" ref="S23">INDEX($A:$FF,3,S$22)</f>
        <v>4.3</v>
      </c>
      <c r="T23" s="6" cm="1">
        <f t="array" ref="T23">INDEX($A:$FF,3,T$22)</f>
        <v>4.2</v>
      </c>
      <c r="U23" s="6" cm="1">
        <f t="array" ref="U23">INDEX($A:$FF,3,U$22)</f>
        <v>3.9</v>
      </c>
      <c r="V23" s="6" cm="1">
        <f t="array" ref="V23">INDEX($A:$FF,3,V$22)</f>
        <v>4</v>
      </c>
      <c r="W23" s="6" cm="1">
        <f t="array" ref="W23">INDEX($A:$FF,3,W$22)</f>
        <v>3.8</v>
      </c>
      <c r="X23" s="6" cm="1">
        <f t="array" ref="X23">INDEX($A:$FF,3,X$22)</f>
        <v>4</v>
      </c>
      <c r="Y23" s="6" cm="1">
        <f t="array" ref="Y23">INDEX($A:$FF,3,Y$22)</f>
        <v>4.4000000000000004</v>
      </c>
      <c r="Z23" s="6" cm="1">
        <f t="array" ref="Z23">INDEX($A:$FF,3,Z$22)</f>
        <v>3.5</v>
      </c>
      <c r="AA23" s="6" cm="1">
        <f t="array" ref="AA23">INDEX($A:$FF,3,AA$22)</f>
        <v>3.9</v>
      </c>
      <c r="AB23" s="6" cm="1">
        <f t="array" ref="AB23">INDEX($A:$FF,3,AB$22)</f>
        <v>3.8</v>
      </c>
      <c r="AC23" s="6" cm="1">
        <f t="array" ref="AC23">INDEX($A:$FF,3,AC$22)</f>
        <v>3.8</v>
      </c>
      <c r="AD23" s="6" cm="1">
        <f t="array" ref="AD23">INDEX($A:$FF,3,AD$22)</f>
        <v>4.2</v>
      </c>
      <c r="AE23" s="6" cm="1">
        <f t="array" ref="AE23">INDEX($A:$FF,3,AE$22)</f>
        <v>4.4000000000000004</v>
      </c>
      <c r="AF23" s="6" cm="1">
        <f t="array" ref="AF23">INDEX($A:$FF,3,AF$22)</f>
        <v>4</v>
      </c>
    </row>
    <row r="24" spans="1:114" ht="12.3" x14ac:dyDescent="0.4">
      <c r="E24" s="11" t="s">
        <v>146</v>
      </c>
      <c r="F24" s="11"/>
      <c r="G24" s="11"/>
      <c r="H24" s="6" cm="1">
        <f t="array" ref="H24">INDEX($A:$FF,3,H$22+1)</f>
        <v>3.2</v>
      </c>
      <c r="I24" s="6" cm="1">
        <f t="array" ref="I24">INDEX($A:$FF,3,I$22+1)</f>
        <v>4.2</v>
      </c>
      <c r="J24" s="6" cm="1">
        <f t="array" ref="J24">INDEX($A:$FF,3,J$22+1)</f>
        <v>4.3</v>
      </c>
      <c r="K24" s="6" cm="1">
        <f t="array" ref="K24">INDEX($A:$FF,3,K$22+1)</f>
        <v>4.0999999999999996</v>
      </c>
      <c r="L24" s="6" cm="1">
        <f t="array" ref="L24">INDEX($A:$FF,3,L$22+1)</f>
        <v>3</v>
      </c>
      <c r="M24" s="6" cm="1">
        <f t="array" ref="M24">INDEX($A:$FF,3,M$22+1)</f>
        <v>3.7</v>
      </c>
      <c r="N24" s="6" cm="1">
        <f t="array" ref="N24">INDEX($A:$FF,3,N$22+1)</f>
        <v>3.8</v>
      </c>
      <c r="O24" s="6" cm="1">
        <f t="array" ref="O24">INDEX($A:$FF,3,O$22+1)</f>
        <v>3.7</v>
      </c>
      <c r="P24" s="6" cm="1">
        <f t="array" ref="P24">INDEX($A:$FF,3,P$22+1)</f>
        <v>3.4</v>
      </c>
      <c r="Q24" s="6" cm="1">
        <f t="array" ref="Q24">INDEX($A:$FF,3,Q$22+1)</f>
        <v>4</v>
      </c>
      <c r="R24" s="6" cm="1">
        <f t="array" ref="R24">INDEX($A:$FF,3,R$22+1)</f>
        <v>4.3</v>
      </c>
      <c r="S24" s="6" cm="1">
        <f t="array" ref="S24">INDEX($A:$FF,3,S$22+1)</f>
        <v>4</v>
      </c>
      <c r="T24" s="6" cm="1">
        <f t="array" ref="T24">INDEX($A:$FF,3,T$22+1)</f>
        <v>3.7</v>
      </c>
      <c r="U24" s="6" cm="1">
        <f t="array" ref="U24">INDEX($A:$FF,3,U$22+1)</f>
        <v>3.6</v>
      </c>
      <c r="V24" s="6" cm="1">
        <f t="array" ref="V24">INDEX($A:$FF,3,V$22+1)</f>
        <v>3.7</v>
      </c>
      <c r="W24" s="6" cm="1">
        <f t="array" ref="W24">INDEX($A:$FF,3,W$22+1)</f>
        <v>3.3</v>
      </c>
      <c r="X24" s="6" cm="1">
        <f t="array" ref="X24">INDEX($A:$FF,3,X$22+1)</f>
        <v>3.4</v>
      </c>
      <c r="Y24" s="6" cm="1">
        <f t="array" ref="Y24">INDEX($A:$FF,3,Y$22+1)</f>
        <v>3.8</v>
      </c>
      <c r="Z24" s="6" cm="1">
        <f t="array" ref="Z24">INDEX($A:$FF,3,Z$22+1)</f>
        <v>3.5</v>
      </c>
      <c r="AA24" s="6" cm="1">
        <f t="array" ref="AA24">INDEX($A:$FF,3,AA$22+1)</f>
        <v>3.5</v>
      </c>
      <c r="AB24" s="6" cm="1">
        <f t="array" ref="AB24">INDEX($A:$FF,3,AB$22+1)</f>
        <v>3.7</v>
      </c>
      <c r="AC24" s="6" cm="1">
        <f t="array" ref="AC24">INDEX($A:$FF,3,AC$22+1)</f>
        <v>3.5</v>
      </c>
      <c r="AD24" s="6" cm="1">
        <f t="array" ref="AD24">INDEX($A:$FF,3,AD$22+1)</f>
        <v>3.8</v>
      </c>
      <c r="AE24" s="6" cm="1">
        <f t="array" ref="AE24">INDEX($A:$FF,3,AE$22+1)</f>
        <v>3.7</v>
      </c>
      <c r="AF24" s="6" cm="1">
        <f t="array" ref="AF24">INDEX($A:$FF,3,AF$22+1)</f>
        <v>3.9</v>
      </c>
    </row>
    <row r="25" spans="1:114" ht="12.3" x14ac:dyDescent="0.4">
      <c r="E25" s="11" t="s">
        <v>144</v>
      </c>
      <c r="F25" s="11"/>
      <c r="G25" s="11"/>
      <c r="H25" cm="1">
        <f t="array" ref="H25">INDEX($A:$FF,3,H$22+2)</f>
        <v>3.7</v>
      </c>
      <c r="I25" cm="1">
        <f t="array" ref="I25">INDEX($A:$FF,3,I$22+2)</f>
        <v>3.7</v>
      </c>
      <c r="J25" cm="1">
        <f t="array" ref="J25">INDEX($A:$FF,3,J$22+2)</f>
        <v>3.9</v>
      </c>
      <c r="K25" cm="1">
        <f t="array" ref="K25">INDEX($A:$FF,3,K$22+2)</f>
        <v>4.3</v>
      </c>
      <c r="L25" cm="1">
        <f t="array" ref="L25">INDEX($A:$FF,3,L$22+2)</f>
        <v>3.1</v>
      </c>
      <c r="M25" cm="1">
        <f t="array" ref="M25">INDEX($A:$FF,3,M$22+2)</f>
        <v>3.9</v>
      </c>
      <c r="N25" cm="1">
        <f t="array" ref="N25">INDEX($A:$FF,3,N$22+2)</f>
        <v>3.9</v>
      </c>
      <c r="O25" cm="1">
        <f t="array" ref="O25">INDEX($A:$FF,3,O$22+2)</f>
        <v>3.8</v>
      </c>
      <c r="P25" cm="1">
        <f t="array" ref="P25">INDEX($A:$FF,3,P$22+2)</f>
        <v>3.7</v>
      </c>
      <c r="Q25" cm="1">
        <f t="array" ref="Q25">INDEX($A:$FF,3,Q$22+2)</f>
        <v>4.3</v>
      </c>
      <c r="R25" cm="1">
        <f t="array" ref="R25">INDEX($A:$FF,3,R$22+2)</f>
        <v>4.0999999999999996</v>
      </c>
      <c r="S25" cm="1">
        <f t="array" ref="S25">INDEX($A:$FF,3,S$22+2)</f>
        <v>4.2</v>
      </c>
      <c r="T25" cm="1">
        <f t="array" ref="T25">INDEX($A:$FF,3,T$22+2)</f>
        <v>4</v>
      </c>
      <c r="U25" cm="1">
        <f t="array" ref="U25">INDEX($A:$FF,3,U$22+2)</f>
        <v>3.7</v>
      </c>
      <c r="V25" cm="1">
        <f t="array" ref="V25">INDEX($A:$FF,3,V$22+2)</f>
        <v>3.6</v>
      </c>
      <c r="W25" cm="1">
        <f t="array" ref="W25">INDEX($A:$FF,3,W$22+2)</f>
        <v>3.9</v>
      </c>
      <c r="X25" cm="1">
        <f t="array" ref="X25">INDEX($A:$FF,3,X$22+2)</f>
        <v>3.8</v>
      </c>
      <c r="Y25" cm="1">
        <f t="array" ref="Y25">INDEX($A:$FF,3,Y$22+2)</f>
        <v>3.9</v>
      </c>
      <c r="Z25" cm="1">
        <f t="array" ref="Z25">INDEX($A:$FF,3,Z$22+2)</f>
        <v>3.6</v>
      </c>
      <c r="AA25" cm="1">
        <f t="array" ref="AA25">INDEX($A:$FF,3,AA$22+2)</f>
        <v>3.6</v>
      </c>
      <c r="AB25" cm="1">
        <f t="array" ref="AB25">INDEX($A:$FF,3,AB$22+2)</f>
        <v>3.5</v>
      </c>
      <c r="AC25" cm="1">
        <f t="array" ref="AC25">INDEX($A:$FF,3,AC$22+2)</f>
        <v>3.8</v>
      </c>
      <c r="AD25" cm="1">
        <f t="array" ref="AD25">INDEX($A:$FF,3,AD$22+2)</f>
        <v>4.3</v>
      </c>
      <c r="AE25" cm="1">
        <f t="array" ref="AE25">INDEX($A:$FF,3,AE$22+2)</f>
        <v>4.0999999999999996</v>
      </c>
      <c r="AF25" cm="1">
        <f t="array" ref="AF25">INDEX($A:$FF,3,AF$22+2)</f>
        <v>3.8</v>
      </c>
    </row>
    <row r="26" spans="1:114" ht="12.3" x14ac:dyDescent="0.4">
      <c r="E26" s="11" t="s">
        <v>143</v>
      </c>
      <c r="F26" s="11"/>
      <c r="G26" s="11"/>
      <c r="H26" cm="1">
        <f t="array" ref="H26">INDEX($A:$FF,3,H$22+3)</f>
        <v>3.4</v>
      </c>
      <c r="I26" cm="1">
        <f t="array" ref="I26">INDEX($A:$FF,3,I$22+3)</f>
        <v>4.0999999999999996</v>
      </c>
      <c r="J26" cm="1">
        <f t="array" ref="J26">INDEX($A:$FF,3,J$22+3)</f>
        <v>4.2</v>
      </c>
      <c r="K26" cm="1">
        <f t="array" ref="K26">INDEX($A:$FF,3,K$22+3)</f>
        <v>4.0999999999999996</v>
      </c>
      <c r="L26" cm="1">
        <f t="array" ref="L26">INDEX($A:$FF,3,L$22+3)</f>
        <v>3.2</v>
      </c>
      <c r="M26" cm="1">
        <f t="array" ref="M26">INDEX($A:$FF,3,M$22+3)</f>
        <v>4.0999999999999996</v>
      </c>
      <c r="N26" cm="1">
        <f t="array" ref="N26">INDEX($A:$FF,3,N$22+3)</f>
        <v>3.7</v>
      </c>
      <c r="O26" cm="1">
        <f t="array" ref="O26">INDEX($A:$FF,3,O$22+3)</f>
        <v>4.2</v>
      </c>
      <c r="P26" cm="1">
        <f t="array" ref="P26">INDEX($A:$FF,3,P$22+3)</f>
        <v>3.7</v>
      </c>
      <c r="Q26" cm="1">
        <f t="array" ref="Q26">INDEX($A:$FF,3,Q$22+3)</f>
        <v>4.4000000000000004</v>
      </c>
      <c r="R26" cm="1">
        <f t="array" ref="R26">INDEX($A:$FF,3,R$22+3)</f>
        <v>4.4000000000000004</v>
      </c>
      <c r="S26" cm="1">
        <f t="array" ref="S26">INDEX($A:$FF,3,S$22+3)</f>
        <v>4.3</v>
      </c>
      <c r="T26" cm="1">
        <f t="array" ref="T26">INDEX($A:$FF,3,T$22+3)</f>
        <v>4</v>
      </c>
      <c r="U26" cm="1">
        <f t="array" ref="U26">INDEX($A:$FF,3,U$22+3)</f>
        <v>3.6</v>
      </c>
      <c r="V26" cm="1">
        <f t="array" ref="V26">INDEX($A:$FF,3,V$22+3)</f>
        <v>4.3</v>
      </c>
      <c r="W26" cm="1">
        <f t="array" ref="W26">INDEX($A:$FF,3,W$22+3)</f>
        <v>3.5</v>
      </c>
      <c r="X26" cm="1">
        <f t="array" ref="X26">INDEX($A:$FF,3,X$22+3)</f>
        <v>3.8</v>
      </c>
      <c r="Y26" cm="1">
        <f t="array" ref="Y26">INDEX($A:$FF,3,Y$22+3)</f>
        <v>4.2</v>
      </c>
      <c r="Z26" cm="1">
        <f t="array" ref="Z26">INDEX($A:$FF,3,Z$22+3)</f>
        <v>3.8</v>
      </c>
      <c r="AA26" cm="1">
        <f t="array" ref="AA26">INDEX($A:$FF,3,AA$22+3)</f>
        <v>3.8</v>
      </c>
      <c r="AB26" cm="1">
        <f t="array" ref="AB26">INDEX($A:$FF,3,AB$22+3)</f>
        <v>3.9</v>
      </c>
      <c r="AC26" cm="1">
        <f t="array" ref="AC26">INDEX($A:$FF,3,AC$22+3)</f>
        <v>3.7</v>
      </c>
      <c r="AD26" cm="1">
        <f t="array" ref="AD26">INDEX($A:$FF,3,AD$22+3)</f>
        <v>4.4000000000000004</v>
      </c>
      <c r="AE26" cm="1">
        <f t="array" ref="AE26">INDEX($A:$FF,3,AE$22+3)</f>
        <v>4.3</v>
      </c>
      <c r="AF26" cm="1">
        <f t="array" ref="AF26">INDEX($A:$FF,3,AF$22+3)</f>
        <v>4</v>
      </c>
    </row>
    <row r="27" spans="1:114" s="4" customFormat="1" ht="12.3" x14ac:dyDescent="0.4">
      <c r="E27" s="12" t="s">
        <v>147</v>
      </c>
      <c r="F27" s="12"/>
      <c r="G27" s="12"/>
      <c r="H27" s="7">
        <f>AVERAGE(H23:H26)</f>
        <v>3.5249999999999999</v>
      </c>
      <c r="I27" s="7">
        <f t="shared" ref="I27:AF27" si="7">AVERAGE(I23:I26)</f>
        <v>4.0500000000000007</v>
      </c>
      <c r="J27" s="7">
        <f t="shared" si="7"/>
        <v>4.1749999999999998</v>
      </c>
      <c r="K27" s="7">
        <f t="shared" si="7"/>
        <v>4.2249999999999996</v>
      </c>
      <c r="L27" s="7">
        <f t="shared" si="7"/>
        <v>3.25</v>
      </c>
      <c r="M27" s="7">
        <f t="shared" si="7"/>
        <v>3.9249999999999998</v>
      </c>
      <c r="N27" s="7">
        <f t="shared" si="7"/>
        <v>3.8499999999999996</v>
      </c>
      <c r="O27" s="7">
        <f t="shared" si="7"/>
        <v>3.9749999999999996</v>
      </c>
      <c r="P27" s="7">
        <f t="shared" si="7"/>
        <v>3.7249999999999996</v>
      </c>
      <c r="Q27" s="7">
        <f t="shared" si="7"/>
        <v>4.2750000000000004</v>
      </c>
      <c r="R27" s="7">
        <f t="shared" si="7"/>
        <v>4.3</v>
      </c>
      <c r="S27" s="7">
        <f t="shared" si="7"/>
        <v>4.2</v>
      </c>
      <c r="T27" s="7">
        <f t="shared" si="7"/>
        <v>3.9750000000000001</v>
      </c>
      <c r="U27" s="7">
        <f t="shared" si="7"/>
        <v>3.6999999999999997</v>
      </c>
      <c r="V27" s="7">
        <f t="shared" si="7"/>
        <v>3.9000000000000004</v>
      </c>
      <c r="W27" s="7">
        <f t="shared" si="7"/>
        <v>3.625</v>
      </c>
      <c r="X27" s="7">
        <f t="shared" si="7"/>
        <v>3.75</v>
      </c>
      <c r="Y27" s="7">
        <f t="shared" si="7"/>
        <v>4.0750000000000002</v>
      </c>
      <c r="Z27" s="7">
        <f t="shared" si="7"/>
        <v>3.5999999999999996</v>
      </c>
      <c r="AA27" s="7">
        <f t="shared" si="7"/>
        <v>3.7</v>
      </c>
      <c r="AB27" s="7">
        <f t="shared" si="7"/>
        <v>3.7250000000000001</v>
      </c>
      <c r="AC27" s="7">
        <f t="shared" si="7"/>
        <v>3.7</v>
      </c>
      <c r="AD27" s="7">
        <f t="shared" si="7"/>
        <v>4.1750000000000007</v>
      </c>
      <c r="AE27" s="7">
        <f t="shared" si="7"/>
        <v>4.125</v>
      </c>
      <c r="AF27" s="7">
        <f t="shared" si="7"/>
        <v>3.9249999999999998</v>
      </c>
    </row>
    <row r="28" spans="1:114" ht="12.3" x14ac:dyDescent="0.4">
      <c r="H28">
        <v>1</v>
      </c>
      <c r="I28">
        <v>2</v>
      </c>
      <c r="J28">
        <v>3</v>
      </c>
      <c r="K28">
        <v>4</v>
      </c>
      <c r="L28">
        <v>5</v>
      </c>
      <c r="M28">
        <v>6</v>
      </c>
      <c r="N28">
        <v>7</v>
      </c>
      <c r="O28">
        <v>8</v>
      </c>
      <c r="P28">
        <v>9</v>
      </c>
      <c r="Q28">
        <v>10</v>
      </c>
      <c r="R28">
        <v>11</v>
      </c>
      <c r="S28">
        <v>12</v>
      </c>
      <c r="T28">
        <v>13</v>
      </c>
      <c r="U28">
        <v>14</v>
      </c>
      <c r="V28">
        <v>15</v>
      </c>
      <c r="W28">
        <v>16</v>
      </c>
      <c r="X28">
        <v>17</v>
      </c>
      <c r="Y28">
        <v>18</v>
      </c>
      <c r="Z28">
        <v>19</v>
      </c>
      <c r="AA28">
        <v>20</v>
      </c>
      <c r="AB28">
        <v>21</v>
      </c>
      <c r="AC28">
        <v>22</v>
      </c>
      <c r="AD28">
        <v>23</v>
      </c>
      <c r="AE28">
        <v>24</v>
      </c>
      <c r="AF28">
        <v>25</v>
      </c>
    </row>
    <row r="29" spans="1:114" ht="15.75" customHeight="1" x14ac:dyDescent="0.4">
      <c r="DH29">
        <v>25</v>
      </c>
      <c r="DI29" t="str">
        <f>CHAR(70+DH29)</f>
        <v>_</v>
      </c>
      <c r="DJ29" t="s">
        <v>141</v>
      </c>
    </row>
    <row r="31" spans="1:114" ht="43.5" customHeight="1" x14ac:dyDescent="0.4">
      <c r="H31" s="8" t="str">
        <f>E23</f>
        <v xml:space="preserve"> Claridad técnica</v>
      </c>
      <c r="I31" s="8" t="str">
        <f>E24</f>
        <v>Nivel de dificultad adecuado</v>
      </c>
      <c r="J31" s="8" t="str">
        <f>E25</f>
        <v>Calidad de los distractores</v>
      </c>
      <c r="K31" s="8" t="str">
        <f>E26</f>
        <v>Validez pedagógica</v>
      </c>
      <c r="L31" s="8" t="s">
        <v>173</v>
      </c>
    </row>
    <row r="32" spans="1:114" ht="15.75" customHeight="1" x14ac:dyDescent="0.4">
      <c r="G32" t="s">
        <v>148</v>
      </c>
      <c r="H32" cm="1">
        <f t="array" ref="H32:H56">TRANSPOSE(H23:AF23)</f>
        <v>3.8</v>
      </c>
      <c r="I32" cm="1">
        <f t="array" ref="I32:I56">TRANSPOSE(H24:AF24)</f>
        <v>3.2</v>
      </c>
      <c r="J32" cm="1">
        <f t="array" ref="J32:J56">TRANSPOSE(H25:AF25)</f>
        <v>3.7</v>
      </c>
      <c r="K32" cm="1">
        <f t="array" ref="K32:K56">TRANSPOSE(H26:AF26)</f>
        <v>3.4</v>
      </c>
      <c r="L32" cm="1">
        <f t="array" ref="L32:L56">TRANSPOSE(H27:AF27)</f>
        <v>3.5249999999999999</v>
      </c>
    </row>
    <row r="33" spans="7:12" ht="15.75" customHeight="1" x14ac:dyDescent="0.4">
      <c r="G33" t="s">
        <v>149</v>
      </c>
      <c r="H33">
        <v>4.2</v>
      </c>
      <c r="I33">
        <v>4.2</v>
      </c>
      <c r="J33">
        <v>3.7</v>
      </c>
      <c r="K33">
        <v>4.0999999999999996</v>
      </c>
      <c r="L33">
        <v>4.0500000000000007</v>
      </c>
    </row>
    <row r="34" spans="7:12" ht="15.75" customHeight="1" x14ac:dyDescent="0.4">
      <c r="G34" t="s">
        <v>150</v>
      </c>
      <c r="H34">
        <v>4.3</v>
      </c>
      <c r="I34">
        <v>4.3</v>
      </c>
      <c r="J34">
        <v>3.9</v>
      </c>
      <c r="K34">
        <v>4.2</v>
      </c>
      <c r="L34">
        <v>4.1749999999999998</v>
      </c>
    </row>
    <row r="35" spans="7:12" ht="15.75" customHeight="1" x14ac:dyDescent="0.4">
      <c r="G35" t="s">
        <v>151</v>
      </c>
      <c r="H35">
        <v>4.4000000000000004</v>
      </c>
      <c r="I35">
        <v>4.0999999999999996</v>
      </c>
      <c r="J35">
        <v>4.3</v>
      </c>
      <c r="K35">
        <v>4.0999999999999996</v>
      </c>
      <c r="L35">
        <v>4.2249999999999996</v>
      </c>
    </row>
    <row r="36" spans="7:12" ht="15.75" customHeight="1" x14ac:dyDescent="0.4">
      <c r="G36" t="s">
        <v>152</v>
      </c>
      <c r="H36">
        <v>3.7</v>
      </c>
      <c r="I36">
        <v>3</v>
      </c>
      <c r="J36">
        <v>3.1</v>
      </c>
      <c r="K36">
        <v>3.2</v>
      </c>
      <c r="L36">
        <v>3.25</v>
      </c>
    </row>
    <row r="37" spans="7:12" ht="15.75" customHeight="1" x14ac:dyDescent="0.4">
      <c r="G37" t="s">
        <v>153</v>
      </c>
      <c r="H37">
        <v>4</v>
      </c>
      <c r="I37">
        <v>3.7</v>
      </c>
      <c r="J37">
        <v>3.9</v>
      </c>
      <c r="K37">
        <v>4.0999999999999996</v>
      </c>
      <c r="L37">
        <v>3.9249999999999998</v>
      </c>
    </row>
    <row r="38" spans="7:12" ht="15.75" customHeight="1" x14ac:dyDescent="0.4">
      <c r="G38" t="s">
        <v>154</v>
      </c>
      <c r="H38">
        <v>4</v>
      </c>
      <c r="I38">
        <v>3.8</v>
      </c>
      <c r="J38">
        <v>3.9</v>
      </c>
      <c r="K38">
        <v>3.7</v>
      </c>
      <c r="L38">
        <v>3.8499999999999996</v>
      </c>
    </row>
    <row r="39" spans="7:12" ht="15.75" customHeight="1" x14ac:dyDescent="0.4">
      <c r="G39" t="s">
        <v>155</v>
      </c>
      <c r="H39">
        <v>4.2</v>
      </c>
      <c r="I39">
        <v>3.7</v>
      </c>
      <c r="J39">
        <v>3.8</v>
      </c>
      <c r="K39">
        <v>4.2</v>
      </c>
      <c r="L39">
        <v>3.9749999999999996</v>
      </c>
    </row>
    <row r="40" spans="7:12" ht="15.75" customHeight="1" x14ac:dyDescent="0.4">
      <c r="G40" t="s">
        <v>156</v>
      </c>
      <c r="H40">
        <v>4.0999999999999996</v>
      </c>
      <c r="I40">
        <v>3.4</v>
      </c>
      <c r="J40">
        <v>3.7</v>
      </c>
      <c r="K40">
        <v>3.7</v>
      </c>
      <c r="L40">
        <v>3.7249999999999996</v>
      </c>
    </row>
    <row r="41" spans="7:12" ht="15.75" customHeight="1" x14ac:dyDescent="0.4">
      <c r="G41" t="s">
        <v>157</v>
      </c>
      <c r="H41">
        <v>4.4000000000000004</v>
      </c>
      <c r="I41">
        <v>4</v>
      </c>
      <c r="J41">
        <v>4.3</v>
      </c>
      <c r="K41">
        <v>4.4000000000000004</v>
      </c>
      <c r="L41">
        <v>4.2750000000000004</v>
      </c>
    </row>
    <row r="42" spans="7:12" ht="15.75" customHeight="1" x14ac:dyDescent="0.4">
      <c r="G42" t="s">
        <v>158</v>
      </c>
      <c r="H42">
        <v>4.4000000000000004</v>
      </c>
      <c r="I42">
        <v>4.3</v>
      </c>
      <c r="J42">
        <v>4.0999999999999996</v>
      </c>
      <c r="K42">
        <v>4.4000000000000004</v>
      </c>
      <c r="L42">
        <v>4.3</v>
      </c>
    </row>
    <row r="43" spans="7:12" ht="15.75" customHeight="1" x14ac:dyDescent="0.4">
      <c r="G43" t="s">
        <v>159</v>
      </c>
      <c r="H43">
        <v>4.3</v>
      </c>
      <c r="I43">
        <v>4</v>
      </c>
      <c r="J43">
        <v>4.2</v>
      </c>
      <c r="K43">
        <v>4.3</v>
      </c>
      <c r="L43">
        <v>4.2</v>
      </c>
    </row>
    <row r="44" spans="7:12" ht="15.75" customHeight="1" x14ac:dyDescent="0.4">
      <c r="G44" t="s">
        <v>160</v>
      </c>
      <c r="H44">
        <v>4.2</v>
      </c>
      <c r="I44">
        <v>3.7</v>
      </c>
      <c r="J44">
        <v>4</v>
      </c>
      <c r="K44">
        <v>4</v>
      </c>
      <c r="L44">
        <v>3.9750000000000001</v>
      </c>
    </row>
    <row r="45" spans="7:12" ht="15.75" customHeight="1" x14ac:dyDescent="0.4">
      <c r="G45" t="s">
        <v>161</v>
      </c>
      <c r="H45">
        <v>3.9</v>
      </c>
      <c r="I45">
        <v>3.6</v>
      </c>
      <c r="J45">
        <v>3.7</v>
      </c>
      <c r="K45">
        <v>3.6</v>
      </c>
      <c r="L45">
        <v>3.6999999999999997</v>
      </c>
    </row>
    <row r="46" spans="7:12" ht="15.75" customHeight="1" x14ac:dyDescent="0.4">
      <c r="G46" t="s">
        <v>162</v>
      </c>
      <c r="H46">
        <v>4</v>
      </c>
      <c r="I46">
        <v>3.7</v>
      </c>
      <c r="J46">
        <v>3.6</v>
      </c>
      <c r="K46">
        <v>4.3</v>
      </c>
      <c r="L46">
        <v>3.9000000000000004</v>
      </c>
    </row>
    <row r="47" spans="7:12" ht="15.75" customHeight="1" x14ac:dyDescent="0.4">
      <c r="G47" t="s">
        <v>163</v>
      </c>
      <c r="H47">
        <v>3.8</v>
      </c>
      <c r="I47">
        <v>3.3</v>
      </c>
      <c r="J47">
        <v>3.9</v>
      </c>
      <c r="K47">
        <v>3.5</v>
      </c>
      <c r="L47">
        <v>3.625</v>
      </c>
    </row>
    <row r="48" spans="7:12" ht="15.75" customHeight="1" x14ac:dyDescent="0.4">
      <c r="G48" t="s">
        <v>164</v>
      </c>
      <c r="H48">
        <v>4</v>
      </c>
      <c r="I48">
        <v>3.4</v>
      </c>
      <c r="J48">
        <v>3.8</v>
      </c>
      <c r="K48">
        <v>3.8</v>
      </c>
      <c r="L48">
        <v>3.75</v>
      </c>
    </row>
    <row r="49" spans="7:12" ht="15.75" customHeight="1" x14ac:dyDescent="0.4">
      <c r="G49" t="s">
        <v>165</v>
      </c>
      <c r="H49">
        <v>4.4000000000000004</v>
      </c>
      <c r="I49">
        <v>3.8</v>
      </c>
      <c r="J49">
        <v>3.9</v>
      </c>
      <c r="K49">
        <v>4.2</v>
      </c>
      <c r="L49">
        <v>4.0750000000000002</v>
      </c>
    </row>
    <row r="50" spans="7:12" ht="15.75" customHeight="1" x14ac:dyDescent="0.4">
      <c r="G50" t="s">
        <v>166</v>
      </c>
      <c r="H50">
        <v>3.5</v>
      </c>
      <c r="I50">
        <v>3.5</v>
      </c>
      <c r="J50">
        <v>3.6</v>
      </c>
      <c r="K50">
        <v>3.8</v>
      </c>
      <c r="L50">
        <v>3.5999999999999996</v>
      </c>
    </row>
    <row r="51" spans="7:12" ht="15.75" customHeight="1" x14ac:dyDescent="0.4">
      <c r="G51" t="s">
        <v>167</v>
      </c>
      <c r="H51">
        <v>3.9</v>
      </c>
      <c r="I51">
        <v>3.5</v>
      </c>
      <c r="J51">
        <v>3.6</v>
      </c>
      <c r="K51">
        <v>3.8</v>
      </c>
      <c r="L51">
        <v>3.7</v>
      </c>
    </row>
    <row r="52" spans="7:12" ht="15.75" customHeight="1" x14ac:dyDescent="0.4">
      <c r="G52" t="s">
        <v>168</v>
      </c>
      <c r="H52">
        <v>3.8</v>
      </c>
      <c r="I52">
        <v>3.7</v>
      </c>
      <c r="J52">
        <v>3.5</v>
      </c>
      <c r="K52">
        <v>3.9</v>
      </c>
      <c r="L52">
        <v>3.7250000000000001</v>
      </c>
    </row>
    <row r="53" spans="7:12" ht="15.75" customHeight="1" x14ac:dyDescent="0.4">
      <c r="G53" t="s">
        <v>169</v>
      </c>
      <c r="H53">
        <v>3.8</v>
      </c>
      <c r="I53">
        <v>3.5</v>
      </c>
      <c r="J53">
        <v>3.8</v>
      </c>
      <c r="K53">
        <v>3.7</v>
      </c>
      <c r="L53">
        <v>3.7</v>
      </c>
    </row>
    <row r="54" spans="7:12" ht="15.75" customHeight="1" x14ac:dyDescent="0.4">
      <c r="G54" t="s">
        <v>170</v>
      </c>
      <c r="H54">
        <v>4.2</v>
      </c>
      <c r="I54">
        <v>3.8</v>
      </c>
      <c r="J54">
        <v>4.3</v>
      </c>
      <c r="K54">
        <v>4.4000000000000004</v>
      </c>
      <c r="L54">
        <v>4.1750000000000007</v>
      </c>
    </row>
    <row r="55" spans="7:12" ht="15.75" customHeight="1" x14ac:dyDescent="0.4">
      <c r="G55" t="s">
        <v>171</v>
      </c>
      <c r="H55">
        <v>4.4000000000000004</v>
      </c>
      <c r="I55">
        <v>3.7</v>
      </c>
      <c r="J55">
        <v>4.0999999999999996</v>
      </c>
      <c r="K55">
        <v>4.3</v>
      </c>
      <c r="L55">
        <v>4.125</v>
      </c>
    </row>
    <row r="56" spans="7:12" ht="15.75" customHeight="1" x14ac:dyDescent="0.4">
      <c r="G56" t="s">
        <v>172</v>
      </c>
      <c r="H56">
        <v>4</v>
      </c>
      <c r="I56">
        <v>3.9</v>
      </c>
      <c r="J56">
        <v>3.8</v>
      </c>
      <c r="K56">
        <v>4</v>
      </c>
      <c r="L56">
        <v>3.9249999999999998</v>
      </c>
    </row>
    <row r="57" spans="7:12" ht="15.75" customHeight="1" x14ac:dyDescent="0.4">
      <c r="G57" t="s">
        <v>173</v>
      </c>
      <c r="H57">
        <f t="shared" ref="H57:K57" si="8">AVERAGE(_xlfn.ANCHORARRAY(H32))</f>
        <v>4.0680000000000005</v>
      </c>
      <c r="I57">
        <f t="shared" si="8"/>
        <v>3.7120000000000006</v>
      </c>
      <c r="J57">
        <f t="shared" si="8"/>
        <v>3.8479999999999994</v>
      </c>
      <c r="K57">
        <f t="shared" si="8"/>
        <v>3.9640000000000004</v>
      </c>
      <c r="L57">
        <f>AVERAGE(_xlfn.ANCHORARRAY(L32))</f>
        <v>3.8980000000000001</v>
      </c>
    </row>
  </sheetData>
  <mergeCells count="55">
    <mergeCell ref="G2:J2"/>
    <mergeCell ref="K2:N2"/>
    <mergeCell ref="O2:R2"/>
    <mergeCell ref="S2:V2"/>
    <mergeCell ref="W2:Z2"/>
    <mergeCell ref="BS2:BV2"/>
    <mergeCell ref="AA2:AD2"/>
    <mergeCell ref="AE2:AH2"/>
    <mergeCell ref="AI2:AL2"/>
    <mergeCell ref="AM2:AP2"/>
    <mergeCell ref="AQ2:AT2"/>
    <mergeCell ref="AU2:AX2"/>
    <mergeCell ref="AY2:BB2"/>
    <mergeCell ref="BC2:BF2"/>
    <mergeCell ref="BG2:BJ2"/>
    <mergeCell ref="BK2:BN2"/>
    <mergeCell ref="BO2:BR2"/>
    <mergeCell ref="CU2:CX2"/>
    <mergeCell ref="CY2:DB2"/>
    <mergeCell ref="G1:J1"/>
    <mergeCell ref="K1:N1"/>
    <mergeCell ref="O1:R1"/>
    <mergeCell ref="S1:V1"/>
    <mergeCell ref="W1:Z1"/>
    <mergeCell ref="AA1:AD1"/>
    <mergeCell ref="AE1:AH1"/>
    <mergeCell ref="AI1:AL1"/>
    <mergeCell ref="BW2:BZ2"/>
    <mergeCell ref="CA2:CD2"/>
    <mergeCell ref="CE2:CH2"/>
    <mergeCell ref="CI2:CL2"/>
    <mergeCell ref="CM2:CP2"/>
    <mergeCell ref="CQ2:CT2"/>
    <mergeCell ref="CE1:CH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BW1:BZ1"/>
    <mergeCell ref="CA1:CD1"/>
    <mergeCell ref="CI1:CL1"/>
    <mergeCell ref="CM1:CP1"/>
    <mergeCell ref="CQ1:CT1"/>
    <mergeCell ref="CU1:CX1"/>
    <mergeCell ref="CY1:DB1"/>
    <mergeCell ref="E23:G23"/>
    <mergeCell ref="E24:G24"/>
    <mergeCell ref="E25:G25"/>
    <mergeCell ref="E26:G26"/>
    <mergeCell ref="E27:G27"/>
  </mergeCells>
  <phoneticPr fontId="2" type="noConversion"/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C347B-1881-4030-AB37-21700EA4DCA3}">
  <dimension ref="A1:DE57"/>
  <sheetViews>
    <sheetView workbookViewId="0">
      <selection activeCell="B5" sqref="B5"/>
    </sheetView>
  </sheetViews>
  <sheetFormatPr baseColWidth="10" defaultRowHeight="12.3" x14ac:dyDescent="0.4"/>
  <cols>
    <col min="2" max="2" width="56.609375" customWidth="1"/>
    <col min="3" max="3" width="23.5546875" customWidth="1"/>
    <col min="4" max="4" width="20.94140625" customWidth="1"/>
    <col min="8" max="8" width="11.88671875" bestFit="1" customWidth="1"/>
    <col min="10" max="10" width="10.44140625" customWidth="1"/>
  </cols>
  <sheetData>
    <row r="1" spans="1:109" ht="15.75" customHeight="1" x14ac:dyDescent="0.4">
      <c r="G1" s="13" t="s">
        <v>117</v>
      </c>
      <c r="H1" s="13"/>
      <c r="I1" s="13"/>
      <c r="J1" s="13"/>
      <c r="K1" s="13" t="s">
        <v>118</v>
      </c>
      <c r="L1" s="13"/>
      <c r="M1" s="13"/>
      <c r="N1" s="13"/>
      <c r="O1" s="13" t="s">
        <v>119</v>
      </c>
      <c r="P1" s="13"/>
      <c r="Q1" s="13"/>
      <c r="R1" s="13"/>
      <c r="S1" s="13" t="s">
        <v>120</v>
      </c>
      <c r="T1" s="13"/>
      <c r="U1" s="13"/>
      <c r="V1" s="13"/>
      <c r="W1" s="13" t="s">
        <v>121</v>
      </c>
      <c r="X1" s="13"/>
      <c r="Y1" s="13"/>
      <c r="Z1" s="13"/>
      <c r="AA1" s="13" t="s">
        <v>122</v>
      </c>
      <c r="AB1" s="13"/>
      <c r="AC1" s="13"/>
      <c r="AD1" s="13"/>
      <c r="AE1" s="13" t="s">
        <v>123</v>
      </c>
      <c r="AF1" s="13"/>
      <c r="AG1" s="13"/>
      <c r="AH1" s="13"/>
      <c r="AI1" s="13" t="s">
        <v>124</v>
      </c>
      <c r="AJ1" s="13"/>
      <c r="AK1" s="13"/>
      <c r="AL1" s="13"/>
      <c r="AM1" s="13" t="s">
        <v>125</v>
      </c>
      <c r="AN1" s="13"/>
      <c r="AO1" s="13"/>
      <c r="AP1" s="13"/>
      <c r="AQ1" s="13" t="s">
        <v>126</v>
      </c>
      <c r="AR1" s="13"/>
      <c r="AS1" s="13"/>
      <c r="AT1" s="13"/>
      <c r="AU1" s="13" t="s">
        <v>127</v>
      </c>
      <c r="AV1" s="13"/>
      <c r="AW1" s="13"/>
      <c r="AX1" s="13"/>
      <c r="AY1" s="13" t="s">
        <v>128</v>
      </c>
      <c r="AZ1" s="13"/>
      <c r="BA1" s="13"/>
      <c r="BB1" s="13"/>
      <c r="BC1" s="13" t="s">
        <v>129</v>
      </c>
      <c r="BD1" s="13"/>
      <c r="BE1" s="13"/>
      <c r="BF1" s="13"/>
      <c r="BG1" s="13" t="s">
        <v>130</v>
      </c>
      <c r="BH1" s="13"/>
      <c r="BI1" s="13"/>
      <c r="BJ1" s="13"/>
      <c r="BK1" s="13" t="s">
        <v>131</v>
      </c>
      <c r="BL1" s="13"/>
      <c r="BM1" s="13"/>
      <c r="BN1" s="13"/>
      <c r="BO1" s="13" t="s">
        <v>132</v>
      </c>
      <c r="BP1" s="13"/>
      <c r="BQ1" s="13"/>
      <c r="BR1" s="13"/>
      <c r="BS1" s="13" t="s">
        <v>133</v>
      </c>
      <c r="BT1" s="13"/>
      <c r="BU1" s="13"/>
      <c r="BV1" s="13"/>
      <c r="BW1" s="13" t="s">
        <v>134</v>
      </c>
      <c r="BX1" s="13"/>
      <c r="BY1" s="13"/>
      <c r="BZ1" s="13"/>
      <c r="CA1" s="13" t="s">
        <v>135</v>
      </c>
      <c r="CB1" s="13"/>
      <c r="CC1" s="13"/>
      <c r="CD1" s="13"/>
      <c r="CE1" s="13" t="s">
        <v>136</v>
      </c>
      <c r="CF1" s="13"/>
      <c r="CG1" s="13"/>
      <c r="CH1" s="13"/>
      <c r="CI1" s="13" t="s">
        <v>137</v>
      </c>
      <c r="CJ1" s="13"/>
      <c r="CK1" s="13"/>
      <c r="CL1" s="13"/>
      <c r="CM1" s="13" t="s">
        <v>138</v>
      </c>
      <c r="CN1" s="13"/>
      <c r="CO1" s="13"/>
      <c r="CP1" s="13"/>
      <c r="CQ1" s="13" t="s">
        <v>139</v>
      </c>
      <c r="CR1" s="13"/>
      <c r="CS1" s="13"/>
      <c r="CT1" s="13"/>
      <c r="CU1" s="13" t="s">
        <v>140</v>
      </c>
      <c r="CV1" s="13"/>
      <c r="CW1" s="13"/>
      <c r="CX1" s="13"/>
      <c r="CY1" s="13" t="s">
        <v>141</v>
      </c>
      <c r="CZ1" s="13"/>
      <c r="DA1" s="13"/>
      <c r="DB1" s="13"/>
    </row>
    <row r="2" spans="1:109" ht="15.75" customHeight="1" x14ac:dyDescent="0.4">
      <c r="F2" s="4">
        <f>ROUND(AVERAGE(G3:DB3),2)</f>
        <v>3.8</v>
      </c>
      <c r="G2" s="13">
        <f>ROUND(AVERAGE(G3:J3),2)</f>
        <v>3.88</v>
      </c>
      <c r="H2" s="13"/>
      <c r="I2" s="13"/>
      <c r="J2" s="13"/>
      <c r="K2" s="13">
        <f t="shared" ref="K2" si="0">ROUND(AVERAGE(K3:N3),2)</f>
        <v>3.81</v>
      </c>
      <c r="L2" s="13"/>
      <c r="M2" s="13"/>
      <c r="N2" s="13"/>
      <c r="O2" s="13">
        <f t="shared" ref="O2" si="1">ROUND(AVERAGE(O3:R3),2)</f>
        <v>4.13</v>
      </c>
      <c r="P2" s="13"/>
      <c r="Q2" s="13"/>
      <c r="R2" s="13"/>
      <c r="S2" s="13">
        <f t="shared" ref="S2" si="2">ROUND(AVERAGE(S3:V3),2)</f>
        <v>4.13</v>
      </c>
      <c r="T2" s="13"/>
      <c r="U2" s="13"/>
      <c r="V2" s="13"/>
      <c r="W2" s="13">
        <f t="shared" ref="W2" si="3">ROUND(AVERAGE(W3:Z3),2)</f>
        <v>3.06</v>
      </c>
      <c r="X2" s="13"/>
      <c r="Y2" s="13"/>
      <c r="Z2" s="13"/>
      <c r="AA2" s="13">
        <f t="shared" ref="AA2" si="4">ROUND(AVERAGE(AA3:AD3),2)</f>
        <v>3.75</v>
      </c>
      <c r="AB2" s="13"/>
      <c r="AC2" s="13"/>
      <c r="AD2" s="13"/>
      <c r="AE2" s="13">
        <f t="shared" ref="AE2" si="5">ROUND(AVERAGE(AE3:AH3),2)</f>
        <v>3.5</v>
      </c>
      <c r="AF2" s="13"/>
      <c r="AG2" s="13"/>
      <c r="AH2" s="13"/>
      <c r="AI2" s="13">
        <f t="shared" ref="AI2" si="6">ROUND(AVERAGE(AI3:AL3),2)</f>
        <v>3.75</v>
      </c>
      <c r="AJ2" s="13"/>
      <c r="AK2" s="13"/>
      <c r="AL2" s="13"/>
      <c r="AM2" s="13">
        <f t="shared" ref="AM2" si="7">ROUND(AVERAGE(AM3:AP3),2)</f>
        <v>3.75</v>
      </c>
      <c r="AN2" s="13"/>
      <c r="AO2" s="13"/>
      <c r="AP2" s="13"/>
      <c r="AQ2" s="13">
        <f t="shared" ref="AQ2" si="8">ROUND(AVERAGE(AQ3:AT3),2)</f>
        <v>4.25</v>
      </c>
      <c r="AR2" s="13"/>
      <c r="AS2" s="13"/>
      <c r="AT2" s="13"/>
      <c r="AU2" s="13">
        <f t="shared" ref="AU2" si="9">ROUND(AVERAGE(AU3:AX3),2)</f>
        <v>4</v>
      </c>
      <c r="AV2" s="13"/>
      <c r="AW2" s="13"/>
      <c r="AX2" s="13"/>
      <c r="AY2" s="13">
        <f t="shared" ref="AY2" si="10">ROUND(AVERAGE(AY3:BB3),2)</f>
        <v>4.0599999999999996</v>
      </c>
      <c r="AZ2" s="13"/>
      <c r="BA2" s="13"/>
      <c r="BB2" s="13"/>
      <c r="BC2" s="13">
        <f t="shared" ref="BC2" si="11">ROUND(AVERAGE(BC3:BF3),2)</f>
        <v>3.81</v>
      </c>
      <c r="BD2" s="13"/>
      <c r="BE2" s="13"/>
      <c r="BF2" s="13"/>
      <c r="BG2" s="13">
        <f t="shared" ref="BG2" si="12">ROUND(AVERAGE(BG3:BJ3),2)</f>
        <v>3.63</v>
      </c>
      <c r="BH2" s="13"/>
      <c r="BI2" s="13"/>
      <c r="BJ2" s="13"/>
      <c r="BK2" s="13">
        <f t="shared" ref="BK2" si="13">ROUND(AVERAGE(BK3:BN3),2)</f>
        <v>3.38</v>
      </c>
      <c r="BL2" s="13"/>
      <c r="BM2" s="13"/>
      <c r="BN2" s="13"/>
      <c r="BO2" s="13">
        <f t="shared" ref="BO2" si="14">ROUND(AVERAGE(BO3:BR3),2)</f>
        <v>3.63</v>
      </c>
      <c r="BP2" s="13"/>
      <c r="BQ2" s="13"/>
      <c r="BR2" s="13"/>
      <c r="BS2" s="13">
        <f t="shared" ref="BS2" si="15">ROUND(AVERAGE(BS3:BV3),2)</f>
        <v>3.19</v>
      </c>
      <c r="BT2" s="13"/>
      <c r="BU2" s="13"/>
      <c r="BV2" s="13"/>
      <c r="BW2" s="13">
        <f t="shared" ref="BW2" si="16">ROUND(AVERAGE(BW3:BZ3),2)</f>
        <v>4.13</v>
      </c>
      <c r="BX2" s="13"/>
      <c r="BY2" s="13"/>
      <c r="BZ2" s="13"/>
      <c r="CA2" s="13">
        <f t="shared" ref="CA2" si="17">ROUND(AVERAGE(CA3:CD3),2)</f>
        <v>3.75</v>
      </c>
      <c r="CB2" s="13"/>
      <c r="CC2" s="13"/>
      <c r="CD2" s="13"/>
      <c r="CE2" s="13">
        <f t="shared" ref="CE2" si="18">ROUND(AVERAGE(CE3:CH3),2)</f>
        <v>4</v>
      </c>
      <c r="CF2" s="13"/>
      <c r="CG2" s="13"/>
      <c r="CH2" s="13"/>
      <c r="CI2" s="13">
        <f t="shared" ref="CI2" si="19">ROUND(AVERAGE(CI3:CL3),2)</f>
        <v>3.88</v>
      </c>
      <c r="CJ2" s="13"/>
      <c r="CK2" s="13"/>
      <c r="CL2" s="13"/>
      <c r="CM2" s="13">
        <f t="shared" ref="CM2" si="20">ROUND(AVERAGE(CM3:CP3),2)</f>
        <v>3.88</v>
      </c>
      <c r="CN2" s="13"/>
      <c r="CO2" s="13"/>
      <c r="CP2" s="13"/>
      <c r="CQ2" s="13">
        <f t="shared" ref="CQ2" si="21">ROUND(AVERAGE(CQ3:CT3),2)</f>
        <v>4.1900000000000004</v>
      </c>
      <c r="CR2" s="13"/>
      <c r="CS2" s="13"/>
      <c r="CT2" s="13"/>
      <c r="CU2" s="13">
        <f t="shared" ref="CU2" si="22">ROUND(AVERAGE(CU3:CX3),2)</f>
        <v>3.88</v>
      </c>
      <c r="CV2" s="13"/>
      <c r="CW2" s="13"/>
      <c r="CX2" s="13"/>
      <c r="CY2" s="13">
        <f t="shared" ref="CY2" si="23">ROUND(AVERAGE(CY3:DB3),2)</f>
        <v>3.63</v>
      </c>
      <c r="CZ2" s="13"/>
      <c r="DA2" s="13"/>
      <c r="DB2" s="13"/>
    </row>
    <row r="3" spans="1:109" ht="15.75" customHeight="1" x14ac:dyDescent="0.4">
      <c r="C3">
        <f>ROUND(AVERAGE(C5:C51),2)</f>
        <v>3.75</v>
      </c>
      <c r="D3">
        <f>ROUND(AVERAGE(D5:D51),2)</f>
        <v>4</v>
      </c>
      <c r="G3">
        <f>ROUND(AVERAGE(G5:G20),2)</f>
        <v>4</v>
      </c>
      <c r="H3">
        <f>ROUND(AVERAGE(H5:H20),2)</f>
        <v>4</v>
      </c>
      <c r="I3">
        <f t="shared" ref="I3:BT3" si="24">ROUND(AVERAGE(I5:I20),2)</f>
        <v>3.75</v>
      </c>
      <c r="J3">
        <f t="shared" si="24"/>
        <v>3.75</v>
      </c>
      <c r="K3">
        <f t="shared" si="24"/>
        <v>4.25</v>
      </c>
      <c r="L3">
        <f t="shared" si="24"/>
        <v>3.75</v>
      </c>
      <c r="M3">
        <f t="shared" si="24"/>
        <v>3.25</v>
      </c>
      <c r="N3">
        <f t="shared" si="24"/>
        <v>4</v>
      </c>
      <c r="O3">
        <f t="shared" si="24"/>
        <v>4.25</v>
      </c>
      <c r="P3">
        <f t="shared" si="24"/>
        <v>4</v>
      </c>
      <c r="Q3">
        <f t="shared" si="24"/>
        <v>4</v>
      </c>
      <c r="R3">
        <f t="shared" si="24"/>
        <v>4.25</v>
      </c>
      <c r="S3">
        <f t="shared" si="24"/>
        <v>4.5</v>
      </c>
      <c r="T3">
        <f t="shared" si="24"/>
        <v>4</v>
      </c>
      <c r="U3">
        <f t="shared" si="24"/>
        <v>4.25</v>
      </c>
      <c r="V3">
        <f t="shared" si="24"/>
        <v>3.75</v>
      </c>
      <c r="W3">
        <f t="shared" si="24"/>
        <v>3.5</v>
      </c>
      <c r="X3">
        <f t="shared" si="24"/>
        <v>3.25</v>
      </c>
      <c r="Y3">
        <f t="shared" si="24"/>
        <v>2.75</v>
      </c>
      <c r="Z3">
        <f t="shared" si="24"/>
        <v>2.75</v>
      </c>
      <c r="AA3">
        <f t="shared" si="24"/>
        <v>4</v>
      </c>
      <c r="AB3">
        <f t="shared" si="24"/>
        <v>3.5</v>
      </c>
      <c r="AC3">
        <f t="shared" si="24"/>
        <v>3.5</v>
      </c>
      <c r="AD3">
        <f t="shared" si="24"/>
        <v>4</v>
      </c>
      <c r="AE3">
        <f t="shared" si="24"/>
        <v>4.25</v>
      </c>
      <c r="AF3">
        <f t="shared" si="24"/>
        <v>3</v>
      </c>
      <c r="AG3">
        <f t="shared" si="24"/>
        <v>3.25</v>
      </c>
      <c r="AH3">
        <f t="shared" si="24"/>
        <v>3.5</v>
      </c>
      <c r="AI3">
        <f t="shared" si="24"/>
        <v>4</v>
      </c>
      <c r="AJ3">
        <f t="shared" si="24"/>
        <v>3.5</v>
      </c>
      <c r="AK3">
        <f t="shared" si="24"/>
        <v>3.5</v>
      </c>
      <c r="AL3">
        <f t="shared" si="24"/>
        <v>4</v>
      </c>
      <c r="AM3">
        <f t="shared" si="24"/>
        <v>4.25</v>
      </c>
      <c r="AN3">
        <f t="shared" si="24"/>
        <v>3.5</v>
      </c>
      <c r="AO3">
        <f t="shared" si="24"/>
        <v>3.5</v>
      </c>
      <c r="AP3">
        <f t="shared" si="24"/>
        <v>3.75</v>
      </c>
      <c r="AQ3">
        <f t="shared" si="24"/>
        <v>4.5</v>
      </c>
      <c r="AR3">
        <f t="shared" si="24"/>
        <v>3.75</v>
      </c>
      <c r="AS3">
        <f t="shared" si="24"/>
        <v>4.5</v>
      </c>
      <c r="AT3">
        <f t="shared" si="24"/>
        <v>4.25</v>
      </c>
      <c r="AU3">
        <f t="shared" si="24"/>
        <v>4.25</v>
      </c>
      <c r="AV3">
        <f t="shared" si="24"/>
        <v>3.75</v>
      </c>
      <c r="AW3">
        <f t="shared" si="24"/>
        <v>3.75</v>
      </c>
      <c r="AX3">
        <f t="shared" si="24"/>
        <v>4.25</v>
      </c>
      <c r="AY3">
        <f t="shared" si="24"/>
        <v>4.25</v>
      </c>
      <c r="AZ3">
        <f t="shared" si="24"/>
        <v>3.75</v>
      </c>
      <c r="BA3">
        <f t="shared" si="24"/>
        <v>4</v>
      </c>
      <c r="BB3">
        <f t="shared" si="24"/>
        <v>4.25</v>
      </c>
      <c r="BC3">
        <f t="shared" si="24"/>
        <v>4</v>
      </c>
      <c r="BD3">
        <f t="shared" si="24"/>
        <v>3.75</v>
      </c>
      <c r="BE3">
        <f t="shared" si="24"/>
        <v>3.75</v>
      </c>
      <c r="BF3">
        <f t="shared" si="24"/>
        <v>3.75</v>
      </c>
      <c r="BG3">
        <f t="shared" si="24"/>
        <v>4</v>
      </c>
      <c r="BH3">
        <f t="shared" si="24"/>
        <v>3.5</v>
      </c>
      <c r="BI3">
        <f t="shared" si="24"/>
        <v>3.5</v>
      </c>
      <c r="BJ3">
        <f t="shared" si="24"/>
        <v>3.5</v>
      </c>
      <c r="BK3">
        <f t="shared" si="24"/>
        <v>3.75</v>
      </c>
      <c r="BL3">
        <f t="shared" si="24"/>
        <v>2.75</v>
      </c>
      <c r="BM3">
        <f t="shared" si="24"/>
        <v>3.25</v>
      </c>
      <c r="BN3">
        <f t="shared" si="24"/>
        <v>3.75</v>
      </c>
      <c r="BO3">
        <f t="shared" si="24"/>
        <v>3.75</v>
      </c>
      <c r="BP3">
        <f t="shared" si="24"/>
        <v>3.5</v>
      </c>
      <c r="BQ3">
        <f t="shared" si="24"/>
        <v>3.75</v>
      </c>
      <c r="BR3">
        <f t="shared" si="24"/>
        <v>3.5</v>
      </c>
      <c r="BS3">
        <f t="shared" si="24"/>
        <v>3.5</v>
      </c>
      <c r="BT3">
        <f t="shared" si="24"/>
        <v>2.75</v>
      </c>
      <c r="BU3">
        <f t="shared" ref="BU3:DB3" si="25">ROUND(AVERAGE(BU5:BU20),2)</f>
        <v>3.25</v>
      </c>
      <c r="BV3">
        <f t="shared" si="25"/>
        <v>3.25</v>
      </c>
      <c r="BW3">
        <f t="shared" si="25"/>
        <v>4.5</v>
      </c>
      <c r="BX3">
        <f t="shared" si="25"/>
        <v>3.75</v>
      </c>
      <c r="BY3">
        <f t="shared" si="25"/>
        <v>4</v>
      </c>
      <c r="BZ3">
        <f t="shared" si="25"/>
        <v>4.25</v>
      </c>
      <c r="CA3">
        <f t="shared" si="25"/>
        <v>4</v>
      </c>
      <c r="CB3">
        <f t="shared" si="25"/>
        <v>3.5</v>
      </c>
      <c r="CC3">
        <f t="shared" si="25"/>
        <v>3.5</v>
      </c>
      <c r="CD3">
        <f t="shared" si="25"/>
        <v>4</v>
      </c>
      <c r="CE3">
        <f t="shared" si="25"/>
        <v>4.25</v>
      </c>
      <c r="CF3">
        <f t="shared" si="25"/>
        <v>3.75</v>
      </c>
      <c r="CG3">
        <f t="shared" si="25"/>
        <v>4</v>
      </c>
      <c r="CH3">
        <f t="shared" si="25"/>
        <v>4</v>
      </c>
      <c r="CI3">
        <f t="shared" si="25"/>
        <v>4</v>
      </c>
      <c r="CJ3">
        <f t="shared" si="25"/>
        <v>3.75</v>
      </c>
      <c r="CK3">
        <f t="shared" si="25"/>
        <v>3.75</v>
      </c>
      <c r="CL3">
        <f t="shared" si="25"/>
        <v>4</v>
      </c>
      <c r="CM3">
        <f t="shared" si="25"/>
        <v>4</v>
      </c>
      <c r="CN3">
        <f t="shared" si="25"/>
        <v>3.75</v>
      </c>
      <c r="CO3">
        <f t="shared" si="25"/>
        <v>3.75</v>
      </c>
      <c r="CP3">
        <f t="shared" si="25"/>
        <v>4</v>
      </c>
      <c r="CQ3">
        <f t="shared" si="25"/>
        <v>4.25</v>
      </c>
      <c r="CR3">
        <f t="shared" si="25"/>
        <v>3.75</v>
      </c>
      <c r="CS3">
        <f t="shared" si="25"/>
        <v>4.25</v>
      </c>
      <c r="CT3">
        <f t="shared" si="25"/>
        <v>4.5</v>
      </c>
      <c r="CU3">
        <f t="shared" si="25"/>
        <v>4.5</v>
      </c>
      <c r="CV3">
        <f t="shared" si="25"/>
        <v>3</v>
      </c>
      <c r="CW3">
        <f t="shared" si="25"/>
        <v>3.75</v>
      </c>
      <c r="CX3">
        <f t="shared" si="25"/>
        <v>4.25</v>
      </c>
      <c r="CY3">
        <f t="shared" si="25"/>
        <v>3.75</v>
      </c>
      <c r="CZ3">
        <f t="shared" si="25"/>
        <v>3.5</v>
      </c>
      <c r="DA3">
        <f t="shared" si="25"/>
        <v>3.5</v>
      </c>
      <c r="DB3">
        <f t="shared" si="25"/>
        <v>3.75</v>
      </c>
    </row>
    <row r="4" spans="1:109" ht="22.5" customHeight="1" x14ac:dyDescent="0.4">
      <c r="A4" s="3"/>
      <c r="B4" s="3" t="s">
        <v>1</v>
      </c>
      <c r="C4" s="3" t="s">
        <v>2</v>
      </c>
      <c r="D4" s="3" t="s">
        <v>3</v>
      </c>
      <c r="E4" s="3" t="s">
        <v>8</v>
      </c>
      <c r="F4" s="3" t="s">
        <v>9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  <c r="BP4" s="3" t="s">
        <v>67</v>
      </c>
      <c r="BQ4" s="3" t="s">
        <v>68</v>
      </c>
      <c r="BR4" s="3" t="s">
        <v>69</v>
      </c>
      <c r="BS4" s="3" t="s">
        <v>70</v>
      </c>
      <c r="BT4" s="3" t="s">
        <v>71</v>
      </c>
      <c r="BU4" s="3" t="s">
        <v>72</v>
      </c>
      <c r="BV4" s="3" t="s">
        <v>73</v>
      </c>
      <c r="BW4" s="3" t="s">
        <v>74</v>
      </c>
      <c r="BX4" s="3" t="s">
        <v>75</v>
      </c>
      <c r="BY4" s="3" t="s">
        <v>76</v>
      </c>
      <c r="BZ4" s="3" t="s">
        <v>77</v>
      </c>
      <c r="CA4" s="3" t="s">
        <v>78</v>
      </c>
      <c r="CB4" s="3" t="s">
        <v>79</v>
      </c>
      <c r="CC4" s="3" t="s">
        <v>80</v>
      </c>
      <c r="CD4" s="3" t="s">
        <v>81</v>
      </c>
      <c r="CE4" s="3" t="s">
        <v>82</v>
      </c>
      <c r="CF4" s="3" t="s">
        <v>83</v>
      </c>
      <c r="CG4" s="3" t="s">
        <v>84</v>
      </c>
      <c r="CH4" s="3" t="s">
        <v>85</v>
      </c>
      <c r="CI4" s="3" t="s">
        <v>86</v>
      </c>
      <c r="CJ4" s="3" t="s">
        <v>87</v>
      </c>
      <c r="CK4" s="3" t="s">
        <v>88</v>
      </c>
      <c r="CL4" s="3" t="s">
        <v>89</v>
      </c>
      <c r="CM4" s="3" t="s">
        <v>90</v>
      </c>
      <c r="CN4" s="3" t="s">
        <v>91</v>
      </c>
      <c r="CO4" s="3" t="s">
        <v>92</v>
      </c>
      <c r="CP4" s="3" t="s">
        <v>93</v>
      </c>
      <c r="CQ4" s="3" t="s">
        <v>94</v>
      </c>
      <c r="CR4" s="3" t="s">
        <v>95</v>
      </c>
      <c r="CS4" s="3" t="s">
        <v>96</v>
      </c>
      <c r="CT4" s="3" t="s">
        <v>97</v>
      </c>
      <c r="CU4" s="3" t="s">
        <v>98</v>
      </c>
      <c r="CV4" s="3" t="s">
        <v>99</v>
      </c>
      <c r="CW4" s="3" t="s">
        <v>100</v>
      </c>
      <c r="CX4" s="3" t="s">
        <v>101</v>
      </c>
      <c r="CY4" s="3" t="s">
        <v>102</v>
      </c>
      <c r="CZ4" s="3" t="s">
        <v>103</v>
      </c>
      <c r="DA4" s="3" t="s">
        <v>104</v>
      </c>
      <c r="DB4" s="3" t="s">
        <v>105</v>
      </c>
      <c r="DC4" s="3" t="s">
        <v>106</v>
      </c>
    </row>
    <row r="5" spans="1:109" x14ac:dyDescent="0.4">
      <c r="B5" t="str" cm="1">
        <f t="array" ref="B5:DE8">_xlfn._xlws.FILTER(Resp!B:DE, Resp!B:B="1 año", "No hay datos")</f>
        <v>1 año</v>
      </c>
      <c r="C5">
        <v>5</v>
      </c>
      <c r="D5">
        <v>5</v>
      </c>
      <c r="E5" t="str">
        <v>Solo con supervisión</v>
      </c>
      <c r="F5">
        <v>0</v>
      </c>
      <c r="G5">
        <v>3</v>
      </c>
      <c r="H5">
        <v>3</v>
      </c>
      <c r="I5">
        <v>3</v>
      </c>
      <c r="J5">
        <v>3</v>
      </c>
      <c r="K5">
        <v>3</v>
      </c>
      <c r="L5">
        <v>3</v>
      </c>
      <c r="M5">
        <v>2</v>
      </c>
      <c r="N5">
        <v>3</v>
      </c>
      <c r="O5">
        <v>2</v>
      </c>
      <c r="P5">
        <v>3</v>
      </c>
      <c r="Q5">
        <v>3</v>
      </c>
      <c r="R5">
        <v>2</v>
      </c>
      <c r="S5">
        <v>3</v>
      </c>
      <c r="T5">
        <v>3</v>
      </c>
      <c r="U5">
        <v>2</v>
      </c>
      <c r="V5">
        <v>2</v>
      </c>
      <c r="W5">
        <v>3</v>
      </c>
      <c r="X5">
        <v>3</v>
      </c>
      <c r="Y5">
        <v>2</v>
      </c>
      <c r="Z5">
        <v>2</v>
      </c>
      <c r="AA5">
        <v>3</v>
      </c>
      <c r="AB5">
        <v>3</v>
      </c>
      <c r="AC5">
        <v>2</v>
      </c>
      <c r="AD5">
        <v>3</v>
      </c>
      <c r="AE5">
        <v>4</v>
      </c>
      <c r="AF5">
        <v>2</v>
      </c>
      <c r="AG5">
        <v>3</v>
      </c>
      <c r="AH5">
        <v>3</v>
      </c>
      <c r="AI5">
        <v>3</v>
      </c>
      <c r="AJ5">
        <v>3</v>
      </c>
      <c r="AK5">
        <v>3</v>
      </c>
      <c r="AL5">
        <v>3</v>
      </c>
      <c r="AM5">
        <v>4</v>
      </c>
      <c r="AN5">
        <v>3</v>
      </c>
      <c r="AO5">
        <v>3</v>
      </c>
      <c r="AP5">
        <v>3</v>
      </c>
      <c r="AQ5">
        <v>4</v>
      </c>
      <c r="AR5">
        <v>2</v>
      </c>
      <c r="AS5">
        <v>4</v>
      </c>
      <c r="AT5">
        <v>3</v>
      </c>
      <c r="AU5">
        <v>3</v>
      </c>
      <c r="AV5">
        <v>3</v>
      </c>
      <c r="AW5">
        <v>3</v>
      </c>
      <c r="AX5">
        <v>3</v>
      </c>
      <c r="AY5">
        <v>3</v>
      </c>
      <c r="AZ5">
        <v>3</v>
      </c>
      <c r="BA5">
        <v>3</v>
      </c>
      <c r="BB5">
        <v>3</v>
      </c>
      <c r="BC5">
        <v>3</v>
      </c>
      <c r="BD5">
        <v>3</v>
      </c>
      <c r="BE5">
        <v>3</v>
      </c>
      <c r="BF5">
        <v>3</v>
      </c>
      <c r="BG5">
        <v>4</v>
      </c>
      <c r="BH5">
        <v>3</v>
      </c>
      <c r="BI5">
        <v>2</v>
      </c>
      <c r="BJ5">
        <v>3</v>
      </c>
      <c r="BK5">
        <v>3</v>
      </c>
      <c r="BL5">
        <v>3</v>
      </c>
      <c r="BM5">
        <v>2</v>
      </c>
      <c r="BN5">
        <v>3</v>
      </c>
      <c r="BO5">
        <v>3</v>
      </c>
      <c r="BP5">
        <v>3</v>
      </c>
      <c r="BQ5">
        <v>2</v>
      </c>
      <c r="BR5">
        <v>3</v>
      </c>
      <c r="BS5">
        <v>3</v>
      </c>
      <c r="BT5">
        <v>2</v>
      </c>
      <c r="BU5">
        <v>3</v>
      </c>
      <c r="BV5">
        <v>2</v>
      </c>
      <c r="BW5">
        <v>3</v>
      </c>
      <c r="BX5">
        <v>3</v>
      </c>
      <c r="BY5">
        <v>3</v>
      </c>
      <c r="BZ5">
        <v>3</v>
      </c>
      <c r="CA5">
        <v>3</v>
      </c>
      <c r="CB5">
        <v>3</v>
      </c>
      <c r="CC5">
        <v>3</v>
      </c>
      <c r="CD5">
        <v>3</v>
      </c>
      <c r="CE5">
        <v>3</v>
      </c>
      <c r="CF5">
        <v>3</v>
      </c>
      <c r="CG5">
        <v>3</v>
      </c>
      <c r="CH5">
        <v>3</v>
      </c>
      <c r="CI5">
        <v>3</v>
      </c>
      <c r="CJ5">
        <v>3</v>
      </c>
      <c r="CK5">
        <v>3</v>
      </c>
      <c r="CL5">
        <v>3</v>
      </c>
      <c r="CM5">
        <v>3</v>
      </c>
      <c r="CN5">
        <v>3</v>
      </c>
      <c r="CO5">
        <v>3</v>
      </c>
      <c r="CP5">
        <v>3</v>
      </c>
      <c r="CQ5">
        <v>3</v>
      </c>
      <c r="CR5">
        <v>3</v>
      </c>
      <c r="CS5">
        <v>3</v>
      </c>
      <c r="CT5">
        <v>3</v>
      </c>
      <c r="CU5">
        <v>3</v>
      </c>
      <c r="CV5">
        <v>3</v>
      </c>
      <c r="CW5">
        <v>3</v>
      </c>
      <c r="CX5">
        <v>3</v>
      </c>
      <c r="CY5">
        <v>3</v>
      </c>
      <c r="CZ5">
        <v>3</v>
      </c>
      <c r="DA5">
        <v>3</v>
      </c>
      <c r="DB5">
        <v>3</v>
      </c>
      <c r="DC5" t="str">
        <v>2-3 horas</v>
      </c>
      <c r="DD5">
        <v>0</v>
      </c>
      <c r="DE5">
        <v>0</v>
      </c>
    </row>
    <row r="6" spans="1:109" x14ac:dyDescent="0.4">
      <c r="B6" t="str">
        <v>1 año</v>
      </c>
      <c r="C6">
        <v>5</v>
      </c>
      <c r="D6">
        <v>5</v>
      </c>
      <c r="E6" t="str">
        <v>Solo con supervisión</v>
      </c>
      <c r="F6">
        <v>0</v>
      </c>
      <c r="G6">
        <v>5</v>
      </c>
      <c r="H6">
        <v>5</v>
      </c>
      <c r="I6">
        <v>5</v>
      </c>
      <c r="J6">
        <v>5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  <c r="W6">
        <v>4</v>
      </c>
      <c r="X6">
        <v>4</v>
      </c>
      <c r="Y6">
        <v>4</v>
      </c>
      <c r="Z6">
        <v>4</v>
      </c>
      <c r="AA6">
        <v>5</v>
      </c>
      <c r="AB6">
        <v>5</v>
      </c>
      <c r="AC6">
        <v>5</v>
      </c>
      <c r="AD6">
        <v>5</v>
      </c>
      <c r="AE6">
        <v>4</v>
      </c>
      <c r="AF6">
        <v>4</v>
      </c>
      <c r="AG6">
        <v>4</v>
      </c>
      <c r="AH6">
        <v>4</v>
      </c>
      <c r="AI6">
        <v>4</v>
      </c>
      <c r="AJ6">
        <v>4</v>
      </c>
      <c r="AK6">
        <v>4</v>
      </c>
      <c r="AL6">
        <v>4</v>
      </c>
      <c r="AM6">
        <v>5</v>
      </c>
      <c r="AN6">
        <v>5</v>
      </c>
      <c r="AO6">
        <v>5</v>
      </c>
      <c r="AP6">
        <v>5</v>
      </c>
      <c r="AQ6">
        <v>4</v>
      </c>
      <c r="AR6">
        <v>5</v>
      </c>
      <c r="AS6">
        <v>4</v>
      </c>
      <c r="AT6">
        <v>4</v>
      </c>
      <c r="AU6">
        <v>5</v>
      </c>
      <c r="AV6">
        <v>5</v>
      </c>
      <c r="AW6">
        <v>5</v>
      </c>
      <c r="AX6">
        <v>5</v>
      </c>
      <c r="AY6">
        <v>4</v>
      </c>
      <c r="AZ6">
        <v>3</v>
      </c>
      <c r="BA6">
        <v>5</v>
      </c>
      <c r="BB6">
        <v>5</v>
      </c>
      <c r="BC6">
        <v>5</v>
      </c>
      <c r="BD6">
        <v>5</v>
      </c>
      <c r="BE6">
        <v>5</v>
      </c>
      <c r="BF6">
        <v>5</v>
      </c>
      <c r="BG6">
        <v>5</v>
      </c>
      <c r="BH6">
        <v>5</v>
      </c>
      <c r="BI6">
        <v>5</v>
      </c>
      <c r="BJ6">
        <v>5</v>
      </c>
      <c r="BK6">
        <v>4</v>
      </c>
      <c r="BL6">
        <v>3</v>
      </c>
      <c r="BM6">
        <v>4</v>
      </c>
      <c r="BN6">
        <v>5</v>
      </c>
      <c r="BO6">
        <v>4</v>
      </c>
      <c r="BP6">
        <v>5</v>
      </c>
      <c r="BQ6">
        <v>5</v>
      </c>
      <c r="BR6">
        <v>4</v>
      </c>
      <c r="BS6">
        <v>4</v>
      </c>
      <c r="BT6">
        <v>4</v>
      </c>
      <c r="BU6">
        <v>5</v>
      </c>
      <c r="BV6">
        <v>5</v>
      </c>
      <c r="BW6">
        <v>5</v>
      </c>
      <c r="BX6">
        <v>4</v>
      </c>
      <c r="BY6">
        <v>4</v>
      </c>
      <c r="BZ6">
        <v>4</v>
      </c>
      <c r="CA6">
        <v>5</v>
      </c>
      <c r="CB6">
        <v>5</v>
      </c>
      <c r="CC6">
        <v>5</v>
      </c>
      <c r="CD6">
        <v>5</v>
      </c>
      <c r="CE6">
        <v>5</v>
      </c>
      <c r="CF6">
        <v>5</v>
      </c>
      <c r="CG6">
        <v>5</v>
      </c>
      <c r="CH6">
        <v>5</v>
      </c>
      <c r="CI6">
        <v>5</v>
      </c>
      <c r="CJ6">
        <v>5</v>
      </c>
      <c r="CK6">
        <v>5</v>
      </c>
      <c r="CL6">
        <v>5</v>
      </c>
      <c r="CM6">
        <v>5</v>
      </c>
      <c r="CN6">
        <v>5</v>
      </c>
      <c r="CO6">
        <v>5</v>
      </c>
      <c r="CP6">
        <v>5</v>
      </c>
      <c r="CQ6">
        <v>4</v>
      </c>
      <c r="CR6">
        <v>5</v>
      </c>
      <c r="CS6">
        <v>5</v>
      </c>
      <c r="CT6">
        <v>5</v>
      </c>
      <c r="CU6">
        <v>5</v>
      </c>
      <c r="CV6">
        <v>3</v>
      </c>
      <c r="CW6">
        <v>5</v>
      </c>
      <c r="CX6">
        <v>5</v>
      </c>
      <c r="CY6">
        <v>4</v>
      </c>
      <c r="CZ6">
        <v>4</v>
      </c>
      <c r="DA6">
        <v>4</v>
      </c>
      <c r="DB6">
        <v>4</v>
      </c>
      <c r="DC6" t="str">
        <v>4-5 horas</v>
      </c>
      <c r="DD6">
        <v>0</v>
      </c>
      <c r="DE6">
        <v>0</v>
      </c>
    </row>
    <row r="7" spans="1:109" x14ac:dyDescent="0.4">
      <c r="B7" t="str">
        <v>1 año</v>
      </c>
      <c r="C7">
        <v>1</v>
      </c>
      <c r="D7">
        <v>2</v>
      </c>
      <c r="E7" t="str">
        <v>Solo con supervisión</v>
      </c>
      <c r="F7">
        <v>0</v>
      </c>
      <c r="G7">
        <v>3</v>
      </c>
      <c r="H7">
        <v>4</v>
      </c>
      <c r="I7">
        <v>3</v>
      </c>
      <c r="J7">
        <v>2</v>
      </c>
      <c r="K7">
        <v>4</v>
      </c>
      <c r="L7">
        <v>4</v>
      </c>
      <c r="M7">
        <v>3</v>
      </c>
      <c r="N7">
        <v>4</v>
      </c>
      <c r="O7">
        <v>5</v>
      </c>
      <c r="P7">
        <v>5</v>
      </c>
      <c r="Q7">
        <v>4</v>
      </c>
      <c r="R7">
        <v>5</v>
      </c>
      <c r="S7">
        <v>5</v>
      </c>
      <c r="T7">
        <v>5</v>
      </c>
      <c r="U7">
        <v>5</v>
      </c>
      <c r="V7">
        <v>3</v>
      </c>
      <c r="W7">
        <v>3</v>
      </c>
      <c r="X7">
        <v>3</v>
      </c>
      <c r="Y7">
        <v>2</v>
      </c>
      <c r="Z7">
        <v>2</v>
      </c>
      <c r="AA7">
        <v>3</v>
      </c>
      <c r="AB7">
        <v>3</v>
      </c>
      <c r="AC7">
        <v>3</v>
      </c>
      <c r="AD7">
        <v>3</v>
      </c>
      <c r="AE7">
        <v>4</v>
      </c>
      <c r="AF7">
        <v>3</v>
      </c>
      <c r="AG7">
        <v>2</v>
      </c>
      <c r="AH7">
        <v>3</v>
      </c>
      <c r="AI7">
        <v>4</v>
      </c>
      <c r="AJ7">
        <v>4</v>
      </c>
      <c r="AK7">
        <v>3</v>
      </c>
      <c r="AL7">
        <v>4</v>
      </c>
      <c r="AM7">
        <v>3</v>
      </c>
      <c r="AN7">
        <v>3</v>
      </c>
      <c r="AO7">
        <v>3</v>
      </c>
      <c r="AP7">
        <v>4</v>
      </c>
      <c r="AQ7">
        <v>5</v>
      </c>
      <c r="AR7">
        <v>4</v>
      </c>
      <c r="AS7">
        <v>5</v>
      </c>
      <c r="AT7">
        <v>5</v>
      </c>
      <c r="AU7">
        <v>4</v>
      </c>
      <c r="AV7">
        <v>4</v>
      </c>
      <c r="AW7">
        <v>3</v>
      </c>
      <c r="AX7">
        <v>4</v>
      </c>
      <c r="AY7">
        <v>5</v>
      </c>
      <c r="AZ7">
        <v>5</v>
      </c>
      <c r="BA7">
        <v>4</v>
      </c>
      <c r="BB7">
        <v>4</v>
      </c>
      <c r="BC7">
        <v>3</v>
      </c>
      <c r="BD7">
        <v>3</v>
      </c>
      <c r="BE7">
        <v>3</v>
      </c>
      <c r="BF7">
        <v>2</v>
      </c>
      <c r="BG7">
        <v>4</v>
      </c>
      <c r="BH7">
        <v>3</v>
      </c>
      <c r="BI7">
        <v>3</v>
      </c>
      <c r="BJ7">
        <v>3</v>
      </c>
      <c r="BK7">
        <v>3</v>
      </c>
      <c r="BL7">
        <v>2</v>
      </c>
      <c r="BM7">
        <v>3</v>
      </c>
      <c r="BN7">
        <v>2</v>
      </c>
      <c r="BO7">
        <v>3</v>
      </c>
      <c r="BP7">
        <v>2</v>
      </c>
      <c r="BQ7">
        <v>3</v>
      </c>
      <c r="BR7">
        <v>2</v>
      </c>
      <c r="BS7">
        <v>2</v>
      </c>
      <c r="BT7">
        <v>2</v>
      </c>
      <c r="BU7">
        <v>2</v>
      </c>
      <c r="BV7">
        <v>2</v>
      </c>
      <c r="BW7">
        <v>5</v>
      </c>
      <c r="BX7">
        <v>4</v>
      </c>
      <c r="BY7">
        <v>4</v>
      </c>
      <c r="BZ7">
        <v>5</v>
      </c>
      <c r="CA7">
        <v>3</v>
      </c>
      <c r="CB7">
        <v>3</v>
      </c>
      <c r="CC7">
        <v>3</v>
      </c>
      <c r="CD7">
        <v>3</v>
      </c>
      <c r="CE7">
        <v>4</v>
      </c>
      <c r="CF7">
        <v>2</v>
      </c>
      <c r="CG7">
        <v>3</v>
      </c>
      <c r="CH7">
        <v>3</v>
      </c>
      <c r="CI7">
        <v>3</v>
      </c>
      <c r="CJ7">
        <v>3</v>
      </c>
      <c r="CK7">
        <v>3</v>
      </c>
      <c r="CL7">
        <v>3</v>
      </c>
      <c r="CM7">
        <v>3</v>
      </c>
      <c r="CN7">
        <v>3</v>
      </c>
      <c r="CO7">
        <v>3</v>
      </c>
      <c r="CP7">
        <v>3</v>
      </c>
      <c r="CQ7">
        <v>5</v>
      </c>
      <c r="CR7">
        <v>4</v>
      </c>
      <c r="CS7">
        <v>5</v>
      </c>
      <c r="CT7">
        <v>5</v>
      </c>
      <c r="CU7">
        <v>5</v>
      </c>
      <c r="CV7">
        <v>3</v>
      </c>
      <c r="CW7">
        <v>3</v>
      </c>
      <c r="CX7">
        <v>4</v>
      </c>
      <c r="CY7">
        <v>3</v>
      </c>
      <c r="CZ7">
        <v>3</v>
      </c>
      <c r="DA7">
        <v>3</v>
      </c>
      <c r="DB7">
        <v>3</v>
      </c>
      <c r="DC7" t="str">
        <v>2-3 horas</v>
      </c>
      <c r="DD7">
        <v>0</v>
      </c>
      <c r="DE7">
        <v>0</v>
      </c>
    </row>
    <row r="8" spans="1:109" x14ac:dyDescent="0.4">
      <c r="B8" t="str">
        <v>1 año</v>
      </c>
      <c r="C8">
        <v>4</v>
      </c>
      <c r="D8">
        <v>4</v>
      </c>
      <c r="E8" t="str">
        <v>Solo con supervisión</v>
      </c>
      <c r="F8" t="str">
        <v>La IA no es perfecta, pero tampoco lo somos los docentes. En la elaboración de test, la combinación de criterio docente e IA permite reducir errores y aligerar notablemente la carga de trabajo. En el futuro, es posible que el papel humano en estas tareas sea cada vez menor.</v>
      </c>
      <c r="G8">
        <v>5</v>
      </c>
      <c r="H8">
        <v>4</v>
      </c>
      <c r="I8">
        <v>4</v>
      </c>
      <c r="J8">
        <v>5</v>
      </c>
      <c r="K8">
        <v>5</v>
      </c>
      <c r="L8">
        <v>3</v>
      </c>
      <c r="M8">
        <v>3</v>
      </c>
      <c r="N8">
        <v>4</v>
      </c>
      <c r="O8">
        <v>5</v>
      </c>
      <c r="P8">
        <v>3</v>
      </c>
      <c r="Q8">
        <v>4</v>
      </c>
      <c r="R8">
        <v>5</v>
      </c>
      <c r="S8">
        <v>5</v>
      </c>
      <c r="T8">
        <v>3</v>
      </c>
      <c r="U8">
        <v>5</v>
      </c>
      <c r="V8">
        <v>5</v>
      </c>
      <c r="W8">
        <v>4</v>
      </c>
      <c r="X8">
        <v>3</v>
      </c>
      <c r="Y8">
        <v>3</v>
      </c>
      <c r="Z8">
        <v>3</v>
      </c>
      <c r="AA8">
        <v>5</v>
      </c>
      <c r="AB8">
        <v>3</v>
      </c>
      <c r="AC8">
        <v>4</v>
      </c>
      <c r="AD8">
        <v>5</v>
      </c>
      <c r="AE8">
        <v>5</v>
      </c>
      <c r="AF8">
        <v>3</v>
      </c>
      <c r="AG8">
        <v>4</v>
      </c>
      <c r="AH8">
        <v>4</v>
      </c>
      <c r="AI8">
        <v>5</v>
      </c>
      <c r="AJ8">
        <v>3</v>
      </c>
      <c r="AK8">
        <v>4</v>
      </c>
      <c r="AL8">
        <v>5</v>
      </c>
      <c r="AM8">
        <v>5</v>
      </c>
      <c r="AN8">
        <v>3</v>
      </c>
      <c r="AO8">
        <v>3</v>
      </c>
      <c r="AP8">
        <v>3</v>
      </c>
      <c r="AQ8">
        <v>5</v>
      </c>
      <c r="AR8">
        <v>4</v>
      </c>
      <c r="AS8">
        <v>5</v>
      </c>
      <c r="AT8">
        <v>5</v>
      </c>
      <c r="AU8">
        <v>5</v>
      </c>
      <c r="AV8">
        <v>3</v>
      </c>
      <c r="AW8">
        <v>4</v>
      </c>
      <c r="AX8">
        <v>5</v>
      </c>
      <c r="AY8">
        <v>5</v>
      </c>
      <c r="AZ8">
        <v>4</v>
      </c>
      <c r="BA8">
        <v>4</v>
      </c>
      <c r="BB8">
        <v>5</v>
      </c>
      <c r="BC8">
        <v>5</v>
      </c>
      <c r="BD8">
        <v>4</v>
      </c>
      <c r="BE8">
        <v>4</v>
      </c>
      <c r="BF8">
        <v>5</v>
      </c>
      <c r="BG8">
        <v>3</v>
      </c>
      <c r="BH8">
        <v>3</v>
      </c>
      <c r="BI8">
        <v>4</v>
      </c>
      <c r="BJ8">
        <v>3</v>
      </c>
      <c r="BK8">
        <v>5</v>
      </c>
      <c r="BL8">
        <v>3</v>
      </c>
      <c r="BM8">
        <v>4</v>
      </c>
      <c r="BN8">
        <v>5</v>
      </c>
      <c r="BO8">
        <v>5</v>
      </c>
      <c r="BP8">
        <v>4</v>
      </c>
      <c r="BQ8">
        <v>5</v>
      </c>
      <c r="BR8">
        <v>5</v>
      </c>
      <c r="BS8">
        <v>5</v>
      </c>
      <c r="BT8">
        <v>3</v>
      </c>
      <c r="BU8">
        <v>3</v>
      </c>
      <c r="BV8">
        <v>4</v>
      </c>
      <c r="BW8">
        <v>5</v>
      </c>
      <c r="BX8">
        <v>4</v>
      </c>
      <c r="BY8">
        <v>5</v>
      </c>
      <c r="BZ8">
        <v>5</v>
      </c>
      <c r="CA8">
        <v>5</v>
      </c>
      <c r="CB8">
        <v>3</v>
      </c>
      <c r="CC8">
        <v>3</v>
      </c>
      <c r="CD8">
        <v>5</v>
      </c>
      <c r="CE8">
        <v>5</v>
      </c>
      <c r="CF8">
        <v>5</v>
      </c>
      <c r="CG8">
        <v>5</v>
      </c>
      <c r="CH8">
        <v>5</v>
      </c>
      <c r="CI8">
        <v>5</v>
      </c>
      <c r="CJ8">
        <v>4</v>
      </c>
      <c r="CK8">
        <v>4</v>
      </c>
      <c r="CL8">
        <v>5</v>
      </c>
      <c r="CM8">
        <v>5</v>
      </c>
      <c r="CN8">
        <v>4</v>
      </c>
      <c r="CO8">
        <v>4</v>
      </c>
      <c r="CP8">
        <v>5</v>
      </c>
      <c r="CQ8">
        <v>5</v>
      </c>
      <c r="CR8">
        <v>3</v>
      </c>
      <c r="CS8">
        <v>4</v>
      </c>
      <c r="CT8">
        <v>5</v>
      </c>
      <c r="CU8">
        <v>5</v>
      </c>
      <c r="CV8">
        <v>3</v>
      </c>
      <c r="CW8">
        <v>4</v>
      </c>
      <c r="CX8">
        <v>5</v>
      </c>
      <c r="CY8">
        <v>5</v>
      </c>
      <c r="CZ8">
        <v>4</v>
      </c>
      <c r="DA8">
        <v>4</v>
      </c>
      <c r="DB8">
        <v>5</v>
      </c>
      <c r="DC8" t="str">
        <v>4-5 horas</v>
      </c>
      <c r="DD8">
        <v>0</v>
      </c>
      <c r="DE8">
        <v>0</v>
      </c>
    </row>
    <row r="22" spans="1:32" x14ac:dyDescent="0.4">
      <c r="H22">
        <f>((COLUMN()-8)*4)+7</f>
        <v>7</v>
      </c>
      <c r="I22">
        <f t="shared" ref="I22:AF22" si="26">((COLUMN()-8)*4)+7</f>
        <v>11</v>
      </c>
      <c r="J22">
        <f t="shared" si="26"/>
        <v>15</v>
      </c>
      <c r="K22">
        <f t="shared" si="26"/>
        <v>19</v>
      </c>
      <c r="L22">
        <f t="shared" si="26"/>
        <v>23</v>
      </c>
      <c r="M22">
        <f t="shared" si="26"/>
        <v>27</v>
      </c>
      <c r="N22">
        <f t="shared" si="26"/>
        <v>31</v>
      </c>
      <c r="O22">
        <f t="shared" si="26"/>
        <v>35</v>
      </c>
      <c r="P22">
        <f t="shared" si="26"/>
        <v>39</v>
      </c>
      <c r="Q22">
        <f t="shared" si="26"/>
        <v>43</v>
      </c>
      <c r="R22">
        <f t="shared" si="26"/>
        <v>47</v>
      </c>
      <c r="S22">
        <f t="shared" si="26"/>
        <v>51</v>
      </c>
      <c r="T22">
        <f t="shared" si="26"/>
        <v>55</v>
      </c>
      <c r="U22">
        <f t="shared" si="26"/>
        <v>59</v>
      </c>
      <c r="V22">
        <f t="shared" si="26"/>
        <v>63</v>
      </c>
      <c r="W22">
        <f t="shared" si="26"/>
        <v>67</v>
      </c>
      <c r="X22">
        <f t="shared" si="26"/>
        <v>71</v>
      </c>
      <c r="Y22">
        <f t="shared" si="26"/>
        <v>75</v>
      </c>
      <c r="Z22">
        <f t="shared" si="26"/>
        <v>79</v>
      </c>
      <c r="AA22">
        <f t="shared" si="26"/>
        <v>83</v>
      </c>
      <c r="AB22">
        <f t="shared" si="26"/>
        <v>87</v>
      </c>
      <c r="AC22">
        <f t="shared" si="26"/>
        <v>91</v>
      </c>
      <c r="AD22">
        <f t="shared" si="26"/>
        <v>95</v>
      </c>
      <c r="AE22">
        <f t="shared" si="26"/>
        <v>99</v>
      </c>
      <c r="AF22">
        <f t="shared" si="26"/>
        <v>103</v>
      </c>
    </row>
    <row r="23" spans="1:32" x14ac:dyDescent="0.4">
      <c r="A23" s="6"/>
      <c r="E23" s="11" t="s">
        <v>145</v>
      </c>
      <c r="F23" s="11"/>
      <c r="G23" s="11"/>
      <c r="H23" s="6" cm="1">
        <f t="array" ref="H23">INDEX($A:$FF,3,H$22)</f>
        <v>4</v>
      </c>
      <c r="I23" s="6" cm="1">
        <f t="array" ref="I23">INDEX($A:$FF,3,I$22)</f>
        <v>4.25</v>
      </c>
      <c r="J23" s="6" cm="1">
        <f t="array" ref="J23">INDEX($A:$FF,3,J$22)</f>
        <v>4.25</v>
      </c>
      <c r="K23" s="6" cm="1">
        <f t="array" ref="K23">INDEX($A:$FF,3,K$22)</f>
        <v>4.5</v>
      </c>
      <c r="L23" s="6" cm="1">
        <f t="array" ref="L23">INDEX($A:$FF,3,L$22)</f>
        <v>3.5</v>
      </c>
      <c r="M23" s="6" cm="1">
        <f t="array" ref="M23">INDEX($A:$FF,3,M$22)</f>
        <v>4</v>
      </c>
      <c r="N23" s="6" cm="1">
        <f t="array" ref="N23">INDEX($A:$FF,3,N$22)</f>
        <v>4.25</v>
      </c>
      <c r="O23" s="6" cm="1">
        <f t="array" ref="O23">INDEX($A:$FF,3,O$22)</f>
        <v>4</v>
      </c>
      <c r="P23" s="6" cm="1">
        <f t="array" ref="P23">INDEX($A:$FF,3,P$22)</f>
        <v>4.25</v>
      </c>
      <c r="Q23" s="6" cm="1">
        <f t="array" ref="Q23">INDEX($A:$FF,3,Q$22)</f>
        <v>4.5</v>
      </c>
      <c r="R23" s="6" cm="1">
        <f t="array" ref="R23">INDEX($A:$FF,3,R$22)</f>
        <v>4.25</v>
      </c>
      <c r="S23" s="6" cm="1">
        <f t="array" ref="S23">INDEX($A:$FF,3,S$22)</f>
        <v>4.25</v>
      </c>
      <c r="T23" s="6" cm="1">
        <f t="array" ref="T23">INDEX($A:$FF,3,T$22)</f>
        <v>4</v>
      </c>
      <c r="U23" s="6" cm="1">
        <f t="array" ref="U23">INDEX($A:$FF,3,U$22)</f>
        <v>4</v>
      </c>
      <c r="V23" s="6" cm="1">
        <f t="array" ref="V23">INDEX($A:$FF,3,V$22)</f>
        <v>3.75</v>
      </c>
      <c r="W23" s="6" cm="1">
        <f t="array" ref="W23">INDEX($A:$FF,3,W$22)</f>
        <v>3.75</v>
      </c>
      <c r="X23" s="6" cm="1">
        <f t="array" ref="X23">INDEX($A:$FF,3,X$22)</f>
        <v>3.5</v>
      </c>
      <c r="Y23" s="6" cm="1">
        <f t="array" ref="Y23">INDEX($A:$FF,3,Y$22)</f>
        <v>4.5</v>
      </c>
      <c r="Z23" s="6" cm="1">
        <f t="array" ref="Z23">INDEX($A:$FF,3,Z$22)</f>
        <v>4</v>
      </c>
      <c r="AA23" s="6" cm="1">
        <f t="array" ref="AA23">INDEX($A:$FF,3,AA$22)</f>
        <v>4.25</v>
      </c>
      <c r="AB23" s="6" cm="1">
        <f t="array" ref="AB23">INDEX($A:$FF,3,AB$22)</f>
        <v>4</v>
      </c>
      <c r="AC23" s="6" cm="1">
        <f t="array" ref="AC23">INDEX($A:$FF,3,AC$22)</f>
        <v>4</v>
      </c>
      <c r="AD23" s="6" cm="1">
        <f t="array" ref="AD23">INDEX($A:$FF,3,AD$22)</f>
        <v>4.25</v>
      </c>
      <c r="AE23" s="6" cm="1">
        <f t="array" ref="AE23">INDEX($A:$FF,3,AE$22)</f>
        <v>4.5</v>
      </c>
      <c r="AF23" s="6" cm="1">
        <f t="array" ref="AF23">INDEX($A:$FF,3,AF$22)</f>
        <v>3.75</v>
      </c>
    </row>
    <row r="24" spans="1:32" x14ac:dyDescent="0.4">
      <c r="E24" s="11" t="s">
        <v>146</v>
      </c>
      <c r="F24" s="11"/>
      <c r="G24" s="11"/>
      <c r="H24" s="6" cm="1">
        <f t="array" ref="H24">INDEX($A:$FF,3,H$22+1)</f>
        <v>4</v>
      </c>
      <c r="I24" s="6" cm="1">
        <f t="array" ref="I24">INDEX($A:$FF,3,I$22+1)</f>
        <v>3.75</v>
      </c>
      <c r="J24" s="6" cm="1">
        <f t="array" ref="J24">INDEX($A:$FF,3,J$22+1)</f>
        <v>4</v>
      </c>
      <c r="K24" s="6" cm="1">
        <f t="array" ref="K24">INDEX($A:$FF,3,K$22+1)</f>
        <v>4</v>
      </c>
      <c r="L24" s="6" cm="1">
        <f t="array" ref="L24">INDEX($A:$FF,3,L$22+1)</f>
        <v>3.25</v>
      </c>
      <c r="M24" s="6" cm="1">
        <f t="array" ref="M24">INDEX($A:$FF,3,M$22+1)</f>
        <v>3.5</v>
      </c>
      <c r="N24" s="6" cm="1">
        <f t="array" ref="N24">INDEX($A:$FF,3,N$22+1)</f>
        <v>3</v>
      </c>
      <c r="O24" s="6" cm="1">
        <f t="array" ref="O24">INDEX($A:$FF,3,O$22+1)</f>
        <v>3.5</v>
      </c>
      <c r="P24" s="6" cm="1">
        <f t="array" ref="P24">INDEX($A:$FF,3,P$22+1)</f>
        <v>3.5</v>
      </c>
      <c r="Q24" s="6" cm="1">
        <f t="array" ref="Q24">INDEX($A:$FF,3,Q$22+1)</f>
        <v>3.75</v>
      </c>
      <c r="R24" s="6" cm="1">
        <f t="array" ref="R24">INDEX($A:$FF,3,R$22+1)</f>
        <v>3.75</v>
      </c>
      <c r="S24" s="6" cm="1">
        <f t="array" ref="S24">INDEX($A:$FF,3,S$22+1)</f>
        <v>3.75</v>
      </c>
      <c r="T24" s="6" cm="1">
        <f t="array" ref="T24">INDEX($A:$FF,3,T$22+1)</f>
        <v>3.75</v>
      </c>
      <c r="U24" s="6" cm="1">
        <f t="array" ref="U24">INDEX($A:$FF,3,U$22+1)</f>
        <v>3.5</v>
      </c>
      <c r="V24" s="6" cm="1">
        <f t="array" ref="V24">INDEX($A:$FF,3,V$22+1)</f>
        <v>2.75</v>
      </c>
      <c r="W24" s="6" cm="1">
        <f t="array" ref="W24">INDEX($A:$FF,3,W$22+1)</f>
        <v>3.5</v>
      </c>
      <c r="X24" s="6" cm="1">
        <f t="array" ref="X24">INDEX($A:$FF,3,X$22+1)</f>
        <v>2.75</v>
      </c>
      <c r="Y24" s="6" cm="1">
        <f t="array" ref="Y24">INDEX($A:$FF,3,Y$22+1)</f>
        <v>3.75</v>
      </c>
      <c r="Z24" s="6" cm="1">
        <f t="array" ref="Z24">INDEX($A:$FF,3,Z$22+1)</f>
        <v>3.5</v>
      </c>
      <c r="AA24" s="6" cm="1">
        <f t="array" ref="AA24">INDEX($A:$FF,3,AA$22+1)</f>
        <v>3.75</v>
      </c>
      <c r="AB24" s="6" cm="1">
        <f t="array" ref="AB24">INDEX($A:$FF,3,AB$22+1)</f>
        <v>3.75</v>
      </c>
      <c r="AC24" s="6" cm="1">
        <f t="array" ref="AC24">INDEX($A:$FF,3,AC$22+1)</f>
        <v>3.75</v>
      </c>
      <c r="AD24" s="6" cm="1">
        <f t="array" ref="AD24">INDEX($A:$FF,3,AD$22+1)</f>
        <v>3.75</v>
      </c>
      <c r="AE24" s="6" cm="1">
        <f t="array" ref="AE24">INDEX($A:$FF,3,AE$22+1)</f>
        <v>3</v>
      </c>
      <c r="AF24" s="6" cm="1">
        <f t="array" ref="AF24">INDEX($A:$FF,3,AF$22+1)</f>
        <v>3.5</v>
      </c>
    </row>
    <row r="25" spans="1:32" x14ac:dyDescent="0.4">
      <c r="E25" s="11" t="s">
        <v>144</v>
      </c>
      <c r="F25" s="11"/>
      <c r="G25" s="11"/>
      <c r="H25" cm="1">
        <f t="array" ref="H25">INDEX($A:$FF,3,H$22+2)</f>
        <v>3.75</v>
      </c>
      <c r="I25" cm="1">
        <f t="array" ref="I25">INDEX($A:$FF,3,I$22+2)</f>
        <v>3.25</v>
      </c>
      <c r="J25" cm="1">
        <f t="array" ref="J25">INDEX($A:$FF,3,J$22+2)</f>
        <v>4</v>
      </c>
      <c r="K25" cm="1">
        <f t="array" ref="K25">INDEX($A:$FF,3,K$22+2)</f>
        <v>4.25</v>
      </c>
      <c r="L25" cm="1">
        <f t="array" ref="L25">INDEX($A:$FF,3,L$22+2)</f>
        <v>2.75</v>
      </c>
      <c r="M25" cm="1">
        <f t="array" ref="M25">INDEX($A:$FF,3,M$22+2)</f>
        <v>3.5</v>
      </c>
      <c r="N25" cm="1">
        <f t="array" ref="N25">INDEX($A:$FF,3,N$22+2)</f>
        <v>3.25</v>
      </c>
      <c r="O25" cm="1">
        <f t="array" ref="O25">INDEX($A:$FF,3,O$22+2)</f>
        <v>3.5</v>
      </c>
      <c r="P25" cm="1">
        <f t="array" ref="P25">INDEX($A:$FF,3,P$22+2)</f>
        <v>3.5</v>
      </c>
      <c r="Q25" cm="1">
        <f t="array" ref="Q25">INDEX($A:$FF,3,Q$22+2)</f>
        <v>4.5</v>
      </c>
      <c r="R25" cm="1">
        <f t="array" ref="R25">INDEX($A:$FF,3,R$22+2)</f>
        <v>3.75</v>
      </c>
      <c r="S25" cm="1">
        <f t="array" ref="S25">INDEX($A:$FF,3,S$22+2)</f>
        <v>4</v>
      </c>
      <c r="T25" cm="1">
        <f t="array" ref="T25">INDEX($A:$FF,3,T$22+2)</f>
        <v>3.75</v>
      </c>
      <c r="U25" cm="1">
        <f t="array" ref="U25">INDEX($A:$FF,3,U$22+2)</f>
        <v>3.5</v>
      </c>
      <c r="V25" cm="1">
        <f t="array" ref="V25">INDEX($A:$FF,3,V$22+2)</f>
        <v>3.25</v>
      </c>
      <c r="W25" cm="1">
        <f t="array" ref="W25">INDEX($A:$FF,3,W$22+2)</f>
        <v>3.75</v>
      </c>
      <c r="X25" cm="1">
        <f t="array" ref="X25">INDEX($A:$FF,3,X$22+2)</f>
        <v>3.25</v>
      </c>
      <c r="Y25" cm="1">
        <f t="array" ref="Y25">INDEX($A:$FF,3,Y$22+2)</f>
        <v>4</v>
      </c>
      <c r="Z25" cm="1">
        <f t="array" ref="Z25">INDEX($A:$FF,3,Z$22+2)</f>
        <v>3.5</v>
      </c>
      <c r="AA25" cm="1">
        <f t="array" ref="AA25">INDEX($A:$FF,3,AA$22+2)</f>
        <v>4</v>
      </c>
      <c r="AB25" cm="1">
        <f t="array" ref="AB25">INDEX($A:$FF,3,AB$22+2)</f>
        <v>3.75</v>
      </c>
      <c r="AC25" cm="1">
        <f t="array" ref="AC25">INDEX($A:$FF,3,AC$22+2)</f>
        <v>3.75</v>
      </c>
      <c r="AD25" cm="1">
        <f t="array" ref="AD25">INDEX($A:$FF,3,AD$22+2)</f>
        <v>4.25</v>
      </c>
      <c r="AE25" cm="1">
        <f t="array" ref="AE25">INDEX($A:$FF,3,AE$22+2)</f>
        <v>3.75</v>
      </c>
      <c r="AF25" cm="1">
        <f t="array" ref="AF25">INDEX($A:$FF,3,AF$22+2)</f>
        <v>3.5</v>
      </c>
    </row>
    <row r="26" spans="1:32" x14ac:dyDescent="0.4">
      <c r="E26" s="11" t="s">
        <v>143</v>
      </c>
      <c r="F26" s="11"/>
      <c r="G26" s="11"/>
      <c r="H26" cm="1">
        <f t="array" ref="H26">INDEX($A:$FF,3,H$22+3)</f>
        <v>3.75</v>
      </c>
      <c r="I26" cm="1">
        <f t="array" ref="I26">INDEX($A:$FF,3,I$22+3)</f>
        <v>4</v>
      </c>
      <c r="J26" cm="1">
        <f t="array" ref="J26">INDEX($A:$FF,3,J$22+3)</f>
        <v>4.25</v>
      </c>
      <c r="K26" cm="1">
        <f t="array" ref="K26">INDEX($A:$FF,3,K$22+3)</f>
        <v>3.75</v>
      </c>
      <c r="L26" cm="1">
        <f t="array" ref="L26">INDEX($A:$FF,3,L$22+3)</f>
        <v>2.75</v>
      </c>
      <c r="M26" cm="1">
        <f t="array" ref="M26">INDEX($A:$FF,3,M$22+3)</f>
        <v>4</v>
      </c>
      <c r="N26" cm="1">
        <f t="array" ref="N26">INDEX($A:$FF,3,N$22+3)</f>
        <v>3.5</v>
      </c>
      <c r="O26" cm="1">
        <f t="array" ref="O26">INDEX($A:$FF,3,O$22+3)</f>
        <v>4</v>
      </c>
      <c r="P26" cm="1">
        <f t="array" ref="P26">INDEX($A:$FF,3,P$22+3)</f>
        <v>3.75</v>
      </c>
      <c r="Q26" cm="1">
        <f t="array" ref="Q26">INDEX($A:$FF,3,Q$22+3)</f>
        <v>4.25</v>
      </c>
      <c r="R26" cm="1">
        <f t="array" ref="R26">INDEX($A:$FF,3,R$22+3)</f>
        <v>4.25</v>
      </c>
      <c r="S26" cm="1">
        <f t="array" ref="S26">INDEX($A:$FF,3,S$22+3)</f>
        <v>4.25</v>
      </c>
      <c r="T26" cm="1">
        <f t="array" ref="T26">INDEX($A:$FF,3,T$22+3)</f>
        <v>3.75</v>
      </c>
      <c r="U26" cm="1">
        <f t="array" ref="U26">INDEX($A:$FF,3,U$22+3)</f>
        <v>3.5</v>
      </c>
      <c r="V26" cm="1">
        <f t="array" ref="V26">INDEX($A:$FF,3,V$22+3)</f>
        <v>3.75</v>
      </c>
      <c r="W26" cm="1">
        <f t="array" ref="W26">INDEX($A:$FF,3,W$22+3)</f>
        <v>3.5</v>
      </c>
      <c r="X26" cm="1">
        <f t="array" ref="X26">INDEX($A:$FF,3,X$22+3)</f>
        <v>3.25</v>
      </c>
      <c r="Y26" cm="1">
        <f t="array" ref="Y26">INDEX($A:$FF,3,Y$22+3)</f>
        <v>4.25</v>
      </c>
      <c r="Z26" cm="1">
        <f t="array" ref="Z26">INDEX($A:$FF,3,Z$22+3)</f>
        <v>4</v>
      </c>
      <c r="AA26" cm="1">
        <f t="array" ref="AA26">INDEX($A:$FF,3,AA$22+3)</f>
        <v>4</v>
      </c>
      <c r="AB26" cm="1">
        <f t="array" ref="AB26">INDEX($A:$FF,3,AB$22+3)</f>
        <v>4</v>
      </c>
      <c r="AC26" cm="1">
        <f t="array" ref="AC26">INDEX($A:$FF,3,AC$22+3)</f>
        <v>4</v>
      </c>
      <c r="AD26" cm="1">
        <f t="array" ref="AD26">INDEX($A:$FF,3,AD$22+3)</f>
        <v>4.5</v>
      </c>
      <c r="AE26" cm="1">
        <f t="array" ref="AE26">INDEX($A:$FF,3,AE$22+3)</f>
        <v>4.25</v>
      </c>
      <c r="AF26" cm="1">
        <f t="array" ref="AF26">INDEX($A:$FF,3,AF$22+3)</f>
        <v>3.75</v>
      </c>
    </row>
    <row r="27" spans="1:32" s="4" customFormat="1" x14ac:dyDescent="0.4">
      <c r="E27" s="12" t="s">
        <v>147</v>
      </c>
      <c r="F27" s="12"/>
      <c r="G27" s="12"/>
      <c r="H27" s="7">
        <f>AVERAGE(H23:H26)</f>
        <v>3.875</v>
      </c>
      <c r="I27" s="7">
        <f t="shared" ref="I27:AF27" si="27">AVERAGE(I23:I26)</f>
        <v>3.8125</v>
      </c>
      <c r="J27" s="7">
        <f t="shared" si="27"/>
        <v>4.125</v>
      </c>
      <c r="K27" s="7">
        <f t="shared" si="27"/>
        <v>4.125</v>
      </c>
      <c r="L27" s="7">
        <f t="shared" si="27"/>
        <v>3.0625</v>
      </c>
      <c r="M27" s="7">
        <f t="shared" si="27"/>
        <v>3.75</v>
      </c>
      <c r="N27" s="7">
        <f t="shared" si="27"/>
        <v>3.5</v>
      </c>
      <c r="O27" s="7">
        <f t="shared" si="27"/>
        <v>3.75</v>
      </c>
      <c r="P27" s="7">
        <f t="shared" si="27"/>
        <v>3.75</v>
      </c>
      <c r="Q27" s="7">
        <f t="shared" si="27"/>
        <v>4.25</v>
      </c>
      <c r="R27" s="7">
        <f t="shared" si="27"/>
        <v>4</v>
      </c>
      <c r="S27" s="7">
        <f t="shared" si="27"/>
        <v>4.0625</v>
      </c>
      <c r="T27" s="7">
        <f t="shared" si="27"/>
        <v>3.8125</v>
      </c>
      <c r="U27" s="7">
        <f t="shared" si="27"/>
        <v>3.625</v>
      </c>
      <c r="V27" s="7">
        <f t="shared" si="27"/>
        <v>3.375</v>
      </c>
      <c r="W27" s="7">
        <f t="shared" si="27"/>
        <v>3.625</v>
      </c>
      <c r="X27" s="7">
        <f t="shared" si="27"/>
        <v>3.1875</v>
      </c>
      <c r="Y27" s="7">
        <f t="shared" si="27"/>
        <v>4.125</v>
      </c>
      <c r="Z27" s="7">
        <f t="shared" si="27"/>
        <v>3.75</v>
      </c>
      <c r="AA27" s="7">
        <f t="shared" si="27"/>
        <v>4</v>
      </c>
      <c r="AB27" s="7">
        <f t="shared" si="27"/>
        <v>3.875</v>
      </c>
      <c r="AC27" s="7">
        <f t="shared" si="27"/>
        <v>3.875</v>
      </c>
      <c r="AD27" s="7">
        <f t="shared" si="27"/>
        <v>4.1875</v>
      </c>
      <c r="AE27" s="7">
        <f t="shared" si="27"/>
        <v>3.875</v>
      </c>
      <c r="AF27" s="7">
        <f t="shared" si="27"/>
        <v>3.625</v>
      </c>
    </row>
    <row r="28" spans="1:32" x14ac:dyDescent="0.4">
      <c r="H28">
        <v>1</v>
      </c>
      <c r="I28">
        <v>2</v>
      </c>
      <c r="J28">
        <v>3</v>
      </c>
      <c r="K28">
        <v>4</v>
      </c>
      <c r="L28">
        <v>5</v>
      </c>
      <c r="M28">
        <v>6</v>
      </c>
      <c r="N28">
        <v>7</v>
      </c>
      <c r="O28">
        <v>8</v>
      </c>
      <c r="P28">
        <v>9</v>
      </c>
      <c r="Q28">
        <v>10</v>
      </c>
      <c r="R28">
        <v>11</v>
      </c>
      <c r="S28">
        <v>12</v>
      </c>
      <c r="T28">
        <v>13</v>
      </c>
      <c r="U28">
        <v>14</v>
      </c>
      <c r="V28">
        <v>15</v>
      </c>
      <c r="W28">
        <v>16</v>
      </c>
      <c r="X28">
        <v>17</v>
      </c>
      <c r="Y28">
        <v>18</v>
      </c>
      <c r="Z28">
        <v>19</v>
      </c>
      <c r="AA28">
        <v>20</v>
      </c>
      <c r="AB28">
        <v>21</v>
      </c>
      <c r="AC28">
        <v>22</v>
      </c>
      <c r="AD28">
        <v>23</v>
      </c>
      <c r="AE28">
        <v>24</v>
      </c>
      <c r="AF28">
        <v>25</v>
      </c>
    </row>
    <row r="31" spans="1:32" ht="39.299999999999997" customHeight="1" x14ac:dyDescent="0.4">
      <c r="H31" s="8" t="str">
        <f>E23</f>
        <v xml:space="preserve"> Claridad técnica</v>
      </c>
      <c r="I31" s="8" t="str">
        <f>E24</f>
        <v>Nivel de dificultad adecuado</v>
      </c>
      <c r="J31" s="8" t="str">
        <f>E25</f>
        <v>Calidad de los distractores</v>
      </c>
      <c r="K31" s="8" t="str">
        <f>E26</f>
        <v>Validez pedagógica</v>
      </c>
      <c r="L31" s="8" t="s">
        <v>173</v>
      </c>
    </row>
    <row r="32" spans="1:32" x14ac:dyDescent="0.4">
      <c r="G32" t="s">
        <v>148</v>
      </c>
      <c r="H32" cm="1">
        <f t="array" ref="H32:H56">TRANSPOSE(H23:AF23)</f>
        <v>4</v>
      </c>
      <c r="I32" cm="1">
        <f t="array" ref="I32:I56">TRANSPOSE(H24:AF24)</f>
        <v>4</v>
      </c>
      <c r="J32" cm="1">
        <f t="array" ref="J32:J56">TRANSPOSE(H25:AF25)</f>
        <v>3.75</v>
      </c>
      <c r="K32" cm="1">
        <f t="array" ref="K32:K56">TRANSPOSE(H26:AF26)</f>
        <v>3.75</v>
      </c>
      <c r="L32" cm="1">
        <f t="array" ref="L32:L56">TRANSPOSE(H27:AF27)</f>
        <v>3.875</v>
      </c>
    </row>
    <row r="33" spans="7:12" x14ac:dyDescent="0.4">
      <c r="G33" t="s">
        <v>149</v>
      </c>
      <c r="H33">
        <v>4.25</v>
      </c>
      <c r="I33">
        <v>3.75</v>
      </c>
      <c r="J33">
        <v>3.25</v>
      </c>
      <c r="K33">
        <v>4</v>
      </c>
      <c r="L33">
        <v>3.8125</v>
      </c>
    </row>
    <row r="34" spans="7:12" x14ac:dyDescent="0.4">
      <c r="G34" t="s">
        <v>150</v>
      </c>
      <c r="H34">
        <v>4.25</v>
      </c>
      <c r="I34">
        <v>4</v>
      </c>
      <c r="J34">
        <v>4</v>
      </c>
      <c r="K34">
        <v>4.25</v>
      </c>
      <c r="L34">
        <v>4.125</v>
      </c>
    </row>
    <row r="35" spans="7:12" x14ac:dyDescent="0.4">
      <c r="G35" t="s">
        <v>151</v>
      </c>
      <c r="H35">
        <v>4.5</v>
      </c>
      <c r="I35">
        <v>4</v>
      </c>
      <c r="J35">
        <v>4.25</v>
      </c>
      <c r="K35">
        <v>3.75</v>
      </c>
      <c r="L35">
        <v>4.125</v>
      </c>
    </row>
    <row r="36" spans="7:12" x14ac:dyDescent="0.4">
      <c r="G36" t="s">
        <v>152</v>
      </c>
      <c r="H36">
        <v>3.5</v>
      </c>
      <c r="I36">
        <v>3.25</v>
      </c>
      <c r="J36">
        <v>2.75</v>
      </c>
      <c r="K36">
        <v>2.75</v>
      </c>
      <c r="L36">
        <v>3.0625</v>
      </c>
    </row>
    <row r="37" spans="7:12" x14ac:dyDescent="0.4">
      <c r="G37" t="s">
        <v>153</v>
      </c>
      <c r="H37">
        <v>4</v>
      </c>
      <c r="I37">
        <v>3.5</v>
      </c>
      <c r="J37">
        <v>3.5</v>
      </c>
      <c r="K37">
        <v>4</v>
      </c>
      <c r="L37">
        <v>3.75</v>
      </c>
    </row>
    <row r="38" spans="7:12" x14ac:dyDescent="0.4">
      <c r="G38" t="s">
        <v>154</v>
      </c>
      <c r="H38">
        <v>4.25</v>
      </c>
      <c r="I38">
        <v>3</v>
      </c>
      <c r="J38">
        <v>3.25</v>
      </c>
      <c r="K38">
        <v>3.5</v>
      </c>
      <c r="L38">
        <v>3.5</v>
      </c>
    </row>
    <row r="39" spans="7:12" x14ac:dyDescent="0.4">
      <c r="G39" t="s">
        <v>155</v>
      </c>
      <c r="H39">
        <v>4</v>
      </c>
      <c r="I39">
        <v>3.5</v>
      </c>
      <c r="J39">
        <v>3.5</v>
      </c>
      <c r="K39">
        <v>4</v>
      </c>
      <c r="L39">
        <v>3.75</v>
      </c>
    </row>
    <row r="40" spans="7:12" x14ac:dyDescent="0.4">
      <c r="G40" t="s">
        <v>156</v>
      </c>
      <c r="H40">
        <v>4.25</v>
      </c>
      <c r="I40">
        <v>3.5</v>
      </c>
      <c r="J40">
        <v>3.5</v>
      </c>
      <c r="K40">
        <v>3.75</v>
      </c>
      <c r="L40">
        <v>3.75</v>
      </c>
    </row>
    <row r="41" spans="7:12" x14ac:dyDescent="0.4">
      <c r="G41" t="s">
        <v>157</v>
      </c>
      <c r="H41">
        <v>4.5</v>
      </c>
      <c r="I41">
        <v>3.75</v>
      </c>
      <c r="J41">
        <v>4.5</v>
      </c>
      <c r="K41">
        <v>4.25</v>
      </c>
      <c r="L41">
        <v>4.25</v>
      </c>
    </row>
    <row r="42" spans="7:12" x14ac:dyDescent="0.4">
      <c r="G42" t="s">
        <v>158</v>
      </c>
      <c r="H42">
        <v>4.25</v>
      </c>
      <c r="I42">
        <v>3.75</v>
      </c>
      <c r="J42">
        <v>3.75</v>
      </c>
      <c r="K42">
        <v>4.25</v>
      </c>
      <c r="L42">
        <v>4</v>
      </c>
    </row>
    <row r="43" spans="7:12" x14ac:dyDescent="0.4">
      <c r="G43" t="s">
        <v>159</v>
      </c>
      <c r="H43">
        <v>4.25</v>
      </c>
      <c r="I43">
        <v>3.75</v>
      </c>
      <c r="J43">
        <v>4</v>
      </c>
      <c r="K43">
        <v>4.25</v>
      </c>
      <c r="L43">
        <v>4.0625</v>
      </c>
    </row>
    <row r="44" spans="7:12" x14ac:dyDescent="0.4">
      <c r="G44" t="s">
        <v>160</v>
      </c>
      <c r="H44">
        <v>4</v>
      </c>
      <c r="I44">
        <v>3.75</v>
      </c>
      <c r="J44">
        <v>3.75</v>
      </c>
      <c r="K44">
        <v>3.75</v>
      </c>
      <c r="L44">
        <v>3.8125</v>
      </c>
    </row>
    <row r="45" spans="7:12" x14ac:dyDescent="0.4">
      <c r="G45" t="s">
        <v>161</v>
      </c>
      <c r="H45">
        <v>4</v>
      </c>
      <c r="I45">
        <v>3.5</v>
      </c>
      <c r="J45">
        <v>3.5</v>
      </c>
      <c r="K45">
        <v>3.5</v>
      </c>
      <c r="L45">
        <v>3.625</v>
      </c>
    </row>
    <row r="46" spans="7:12" x14ac:dyDescent="0.4">
      <c r="G46" t="s">
        <v>162</v>
      </c>
      <c r="H46">
        <v>3.75</v>
      </c>
      <c r="I46">
        <v>2.75</v>
      </c>
      <c r="J46">
        <v>3.25</v>
      </c>
      <c r="K46">
        <v>3.75</v>
      </c>
      <c r="L46">
        <v>3.375</v>
      </c>
    </row>
    <row r="47" spans="7:12" x14ac:dyDescent="0.4">
      <c r="G47" t="s">
        <v>163</v>
      </c>
      <c r="H47">
        <v>3.75</v>
      </c>
      <c r="I47">
        <v>3.5</v>
      </c>
      <c r="J47">
        <v>3.75</v>
      </c>
      <c r="K47">
        <v>3.5</v>
      </c>
      <c r="L47">
        <v>3.625</v>
      </c>
    </row>
    <row r="48" spans="7:12" x14ac:dyDescent="0.4">
      <c r="G48" t="s">
        <v>164</v>
      </c>
      <c r="H48">
        <v>3.5</v>
      </c>
      <c r="I48">
        <v>2.75</v>
      </c>
      <c r="J48">
        <v>3.25</v>
      </c>
      <c r="K48">
        <v>3.25</v>
      </c>
      <c r="L48">
        <v>3.1875</v>
      </c>
    </row>
    <row r="49" spans="7:12" x14ac:dyDescent="0.4">
      <c r="G49" t="s">
        <v>165</v>
      </c>
      <c r="H49">
        <v>4.5</v>
      </c>
      <c r="I49">
        <v>3.75</v>
      </c>
      <c r="J49">
        <v>4</v>
      </c>
      <c r="K49">
        <v>4.25</v>
      </c>
      <c r="L49">
        <v>4.125</v>
      </c>
    </row>
    <row r="50" spans="7:12" x14ac:dyDescent="0.4">
      <c r="G50" t="s">
        <v>166</v>
      </c>
      <c r="H50">
        <v>4</v>
      </c>
      <c r="I50">
        <v>3.5</v>
      </c>
      <c r="J50">
        <v>3.5</v>
      </c>
      <c r="K50">
        <v>4</v>
      </c>
      <c r="L50">
        <v>3.75</v>
      </c>
    </row>
    <row r="51" spans="7:12" x14ac:dyDescent="0.4">
      <c r="G51" t="s">
        <v>167</v>
      </c>
      <c r="H51">
        <v>4.25</v>
      </c>
      <c r="I51">
        <v>3.75</v>
      </c>
      <c r="J51">
        <v>4</v>
      </c>
      <c r="K51">
        <v>4</v>
      </c>
      <c r="L51">
        <v>4</v>
      </c>
    </row>
    <row r="52" spans="7:12" x14ac:dyDescent="0.4">
      <c r="G52" t="s">
        <v>168</v>
      </c>
      <c r="H52">
        <v>4</v>
      </c>
      <c r="I52">
        <v>3.75</v>
      </c>
      <c r="J52">
        <v>3.75</v>
      </c>
      <c r="K52">
        <v>4</v>
      </c>
      <c r="L52">
        <v>3.875</v>
      </c>
    </row>
    <row r="53" spans="7:12" x14ac:dyDescent="0.4">
      <c r="G53" t="s">
        <v>169</v>
      </c>
      <c r="H53">
        <v>4</v>
      </c>
      <c r="I53">
        <v>3.75</v>
      </c>
      <c r="J53">
        <v>3.75</v>
      </c>
      <c r="K53">
        <v>4</v>
      </c>
      <c r="L53">
        <v>3.875</v>
      </c>
    </row>
    <row r="54" spans="7:12" x14ac:dyDescent="0.4">
      <c r="G54" t="s">
        <v>170</v>
      </c>
      <c r="H54">
        <v>4.25</v>
      </c>
      <c r="I54">
        <v>3.75</v>
      </c>
      <c r="J54">
        <v>4.25</v>
      </c>
      <c r="K54">
        <v>4.5</v>
      </c>
      <c r="L54">
        <v>4.1875</v>
      </c>
    </row>
    <row r="55" spans="7:12" x14ac:dyDescent="0.4">
      <c r="G55" t="s">
        <v>171</v>
      </c>
      <c r="H55">
        <v>4.5</v>
      </c>
      <c r="I55">
        <v>3</v>
      </c>
      <c r="J55">
        <v>3.75</v>
      </c>
      <c r="K55">
        <v>4.25</v>
      </c>
      <c r="L55">
        <v>3.875</v>
      </c>
    </row>
    <row r="56" spans="7:12" x14ac:dyDescent="0.4">
      <c r="G56" t="s">
        <v>172</v>
      </c>
      <c r="H56">
        <v>3.75</v>
      </c>
      <c r="I56">
        <v>3.5</v>
      </c>
      <c r="J56">
        <v>3.5</v>
      </c>
      <c r="K56">
        <v>3.75</v>
      </c>
      <c r="L56">
        <v>3.625</v>
      </c>
    </row>
    <row r="57" spans="7:12" x14ac:dyDescent="0.4">
      <c r="G57" t="s">
        <v>173</v>
      </c>
      <c r="H57">
        <f t="shared" ref="H57:K57" si="28">AVERAGE(_xlfn.ANCHORARRAY(H32))</f>
        <v>4.09</v>
      </c>
      <c r="I57">
        <f t="shared" si="28"/>
        <v>3.55</v>
      </c>
      <c r="J57">
        <f t="shared" si="28"/>
        <v>3.68</v>
      </c>
      <c r="K57">
        <f t="shared" si="28"/>
        <v>3.88</v>
      </c>
      <c r="L57">
        <f>AVERAGE(_xlfn.ANCHORARRAY(L32))</f>
        <v>3.8</v>
      </c>
    </row>
  </sheetData>
  <mergeCells count="55">
    <mergeCell ref="E23:G23"/>
    <mergeCell ref="E24:G24"/>
    <mergeCell ref="E25:G25"/>
    <mergeCell ref="E26:G26"/>
    <mergeCell ref="E27:G27"/>
    <mergeCell ref="AY1:BB1"/>
    <mergeCell ref="G1:J1"/>
    <mergeCell ref="K1:N1"/>
    <mergeCell ref="O1:R1"/>
    <mergeCell ref="S1:V1"/>
    <mergeCell ref="W1:Z1"/>
    <mergeCell ref="AA1:AD1"/>
    <mergeCell ref="AE1:AH1"/>
    <mergeCell ref="AI1:AL1"/>
    <mergeCell ref="AM1:AP1"/>
    <mergeCell ref="AQ1:AT1"/>
    <mergeCell ref="AU1:AX1"/>
    <mergeCell ref="CU1:CX1"/>
    <mergeCell ref="BC1:BF1"/>
    <mergeCell ref="BG1:BJ1"/>
    <mergeCell ref="BK1:BN1"/>
    <mergeCell ref="BO1:BR1"/>
    <mergeCell ref="BS1:BV1"/>
    <mergeCell ref="BW1:BZ1"/>
    <mergeCell ref="BK2:BN2"/>
    <mergeCell ref="CY1:DB1"/>
    <mergeCell ref="G2:J2"/>
    <mergeCell ref="K2:N2"/>
    <mergeCell ref="O2:R2"/>
    <mergeCell ref="S2:V2"/>
    <mergeCell ref="W2:Z2"/>
    <mergeCell ref="AA2:AD2"/>
    <mergeCell ref="AE2:AH2"/>
    <mergeCell ref="AI2:AL2"/>
    <mergeCell ref="AM2:AP2"/>
    <mergeCell ref="CA1:CD1"/>
    <mergeCell ref="CE1:CH1"/>
    <mergeCell ref="CI1:CL1"/>
    <mergeCell ref="CM1:CP1"/>
    <mergeCell ref="CQ1:CT1"/>
    <mergeCell ref="AQ2:AT2"/>
    <mergeCell ref="AU2:AX2"/>
    <mergeCell ref="AY2:BB2"/>
    <mergeCell ref="BC2:BF2"/>
    <mergeCell ref="BG2:BJ2"/>
    <mergeCell ref="CM2:CP2"/>
    <mergeCell ref="CQ2:CT2"/>
    <mergeCell ref="CU2:CX2"/>
    <mergeCell ref="CY2:DB2"/>
    <mergeCell ref="BO2:BR2"/>
    <mergeCell ref="BS2:BV2"/>
    <mergeCell ref="BW2:BZ2"/>
    <mergeCell ref="CA2:CD2"/>
    <mergeCell ref="CE2:CH2"/>
    <mergeCell ref="CI2:CL2"/>
  </mergeCells>
  <phoneticPr fontId="2" type="noConversion"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D8925-8B99-4EC2-AF4C-C22F76E7AE4A}">
  <dimension ref="A1:DE57"/>
  <sheetViews>
    <sheetView topLeftCell="A14" workbookViewId="0">
      <selection activeCell="U39" sqref="U39"/>
    </sheetView>
  </sheetViews>
  <sheetFormatPr baseColWidth="10" defaultRowHeight="12.3" x14ac:dyDescent="0.4"/>
  <cols>
    <col min="2" max="2" width="56.609375" customWidth="1"/>
    <col min="3" max="3" width="23.5546875" customWidth="1"/>
    <col min="4" max="4" width="20.94140625" customWidth="1"/>
    <col min="8" max="8" width="11.88671875" bestFit="1" customWidth="1"/>
    <col min="10" max="10" width="10.44140625" customWidth="1"/>
  </cols>
  <sheetData>
    <row r="1" spans="1:109" ht="15.75" customHeight="1" x14ac:dyDescent="0.4">
      <c r="G1" s="13" t="s">
        <v>117</v>
      </c>
      <c r="H1" s="13"/>
      <c r="I1" s="13"/>
      <c r="J1" s="13"/>
      <c r="K1" s="13" t="s">
        <v>118</v>
      </c>
      <c r="L1" s="13"/>
      <c r="M1" s="13"/>
      <c r="N1" s="13"/>
      <c r="O1" s="13" t="s">
        <v>119</v>
      </c>
      <c r="P1" s="13"/>
      <c r="Q1" s="13"/>
      <c r="R1" s="13"/>
      <c r="S1" s="13" t="s">
        <v>120</v>
      </c>
      <c r="T1" s="13"/>
      <c r="U1" s="13"/>
      <c r="V1" s="13"/>
      <c r="W1" s="13" t="s">
        <v>121</v>
      </c>
      <c r="X1" s="13"/>
      <c r="Y1" s="13"/>
      <c r="Z1" s="13"/>
      <c r="AA1" s="13" t="s">
        <v>122</v>
      </c>
      <c r="AB1" s="13"/>
      <c r="AC1" s="13"/>
      <c r="AD1" s="13"/>
      <c r="AE1" s="13" t="s">
        <v>123</v>
      </c>
      <c r="AF1" s="13"/>
      <c r="AG1" s="13"/>
      <c r="AH1" s="13"/>
      <c r="AI1" s="13" t="s">
        <v>124</v>
      </c>
      <c r="AJ1" s="13"/>
      <c r="AK1" s="13"/>
      <c r="AL1" s="13"/>
      <c r="AM1" s="13" t="s">
        <v>125</v>
      </c>
      <c r="AN1" s="13"/>
      <c r="AO1" s="13"/>
      <c r="AP1" s="13"/>
      <c r="AQ1" s="13" t="s">
        <v>126</v>
      </c>
      <c r="AR1" s="13"/>
      <c r="AS1" s="13"/>
      <c r="AT1" s="13"/>
      <c r="AU1" s="13" t="s">
        <v>127</v>
      </c>
      <c r="AV1" s="13"/>
      <c r="AW1" s="13"/>
      <c r="AX1" s="13"/>
      <c r="AY1" s="13" t="s">
        <v>128</v>
      </c>
      <c r="AZ1" s="13"/>
      <c r="BA1" s="13"/>
      <c r="BB1" s="13"/>
      <c r="BC1" s="13" t="s">
        <v>129</v>
      </c>
      <c r="BD1" s="13"/>
      <c r="BE1" s="13"/>
      <c r="BF1" s="13"/>
      <c r="BG1" s="13" t="s">
        <v>130</v>
      </c>
      <c r="BH1" s="13"/>
      <c r="BI1" s="13"/>
      <c r="BJ1" s="13"/>
      <c r="BK1" s="13" t="s">
        <v>131</v>
      </c>
      <c r="BL1" s="13"/>
      <c r="BM1" s="13"/>
      <c r="BN1" s="13"/>
      <c r="BO1" s="13" t="s">
        <v>132</v>
      </c>
      <c r="BP1" s="13"/>
      <c r="BQ1" s="13"/>
      <c r="BR1" s="13"/>
      <c r="BS1" s="13" t="s">
        <v>133</v>
      </c>
      <c r="BT1" s="13"/>
      <c r="BU1" s="13"/>
      <c r="BV1" s="13"/>
      <c r="BW1" s="13" t="s">
        <v>134</v>
      </c>
      <c r="BX1" s="13"/>
      <c r="BY1" s="13"/>
      <c r="BZ1" s="13"/>
      <c r="CA1" s="13" t="s">
        <v>135</v>
      </c>
      <c r="CB1" s="13"/>
      <c r="CC1" s="13"/>
      <c r="CD1" s="13"/>
      <c r="CE1" s="13" t="s">
        <v>136</v>
      </c>
      <c r="CF1" s="13"/>
      <c r="CG1" s="13"/>
      <c r="CH1" s="13"/>
      <c r="CI1" s="13" t="s">
        <v>137</v>
      </c>
      <c r="CJ1" s="13"/>
      <c r="CK1" s="13"/>
      <c r="CL1" s="13"/>
      <c r="CM1" s="13" t="s">
        <v>138</v>
      </c>
      <c r="CN1" s="13"/>
      <c r="CO1" s="13"/>
      <c r="CP1" s="13"/>
      <c r="CQ1" s="13" t="s">
        <v>139</v>
      </c>
      <c r="CR1" s="13"/>
      <c r="CS1" s="13"/>
      <c r="CT1" s="13"/>
      <c r="CU1" s="13" t="s">
        <v>140</v>
      </c>
      <c r="CV1" s="13"/>
      <c r="CW1" s="13"/>
      <c r="CX1" s="13"/>
      <c r="CY1" s="13" t="s">
        <v>141</v>
      </c>
      <c r="CZ1" s="13"/>
      <c r="DA1" s="13"/>
      <c r="DB1" s="13"/>
    </row>
    <row r="2" spans="1:109" ht="15.75" customHeight="1" x14ac:dyDescent="0.4">
      <c r="F2" s="4">
        <f>ROUND(AVERAGE(G3:DB3),2)</f>
        <v>3.57</v>
      </c>
      <c r="G2" s="13">
        <f>ROUND(AVERAGE(G3:J3),2)</f>
        <v>3.09</v>
      </c>
      <c r="H2" s="13"/>
      <c r="I2" s="13"/>
      <c r="J2" s="13"/>
      <c r="K2" s="13">
        <f t="shared" ref="K2" si="0">ROUND(AVERAGE(K3:N3),2)</f>
        <v>4</v>
      </c>
      <c r="L2" s="13"/>
      <c r="M2" s="13"/>
      <c r="N2" s="13"/>
      <c r="O2" s="13">
        <f t="shared" ref="O2" si="1">ROUND(AVERAGE(O3:R3),2)</f>
        <v>3.75</v>
      </c>
      <c r="P2" s="13"/>
      <c r="Q2" s="13"/>
      <c r="R2" s="13"/>
      <c r="S2" s="13">
        <f t="shared" ref="S2" si="2">ROUND(AVERAGE(S3:V3),2)</f>
        <v>3.92</v>
      </c>
      <c r="T2" s="13"/>
      <c r="U2" s="13"/>
      <c r="V2" s="13"/>
      <c r="W2" s="13">
        <f t="shared" ref="W2" si="3">ROUND(AVERAGE(W3:Z3),2)</f>
        <v>2.75</v>
      </c>
      <c r="X2" s="13"/>
      <c r="Y2" s="13"/>
      <c r="Z2" s="13"/>
      <c r="AA2" s="13">
        <f t="shared" ref="AA2" si="4">ROUND(AVERAGE(AA3:AD3),2)</f>
        <v>3.75</v>
      </c>
      <c r="AB2" s="13"/>
      <c r="AC2" s="13"/>
      <c r="AD2" s="13"/>
      <c r="AE2" s="13">
        <f t="shared" ref="AE2" si="5">ROUND(AVERAGE(AE3:AH3),2)</f>
        <v>3.92</v>
      </c>
      <c r="AF2" s="13"/>
      <c r="AG2" s="13"/>
      <c r="AH2" s="13"/>
      <c r="AI2" s="13">
        <f t="shared" ref="AI2" si="6">ROUND(AVERAGE(AI3:AL3),2)</f>
        <v>4</v>
      </c>
      <c r="AJ2" s="13"/>
      <c r="AK2" s="13"/>
      <c r="AL2" s="13"/>
      <c r="AM2" s="13">
        <f t="shared" ref="AM2" si="7">ROUND(AVERAGE(AM3:AP3),2)</f>
        <v>3.08</v>
      </c>
      <c r="AN2" s="13"/>
      <c r="AO2" s="13"/>
      <c r="AP2" s="13"/>
      <c r="AQ2" s="13">
        <f t="shared" ref="AQ2" si="8">ROUND(AVERAGE(AQ3:AT3),2)</f>
        <v>4</v>
      </c>
      <c r="AR2" s="13"/>
      <c r="AS2" s="13"/>
      <c r="AT2" s="13"/>
      <c r="AU2" s="13">
        <f t="shared" ref="AU2" si="9">ROUND(AVERAGE(AU3:AX3),2)</f>
        <v>4.33</v>
      </c>
      <c r="AV2" s="13"/>
      <c r="AW2" s="13"/>
      <c r="AX2" s="13"/>
      <c r="AY2" s="13">
        <f t="shared" ref="AY2" si="10">ROUND(AVERAGE(AY3:BB3),2)</f>
        <v>3.92</v>
      </c>
      <c r="AZ2" s="13"/>
      <c r="BA2" s="13"/>
      <c r="BB2" s="13"/>
      <c r="BC2" s="13">
        <f t="shared" ref="BC2" si="11">ROUND(AVERAGE(BC3:BF3),2)</f>
        <v>4</v>
      </c>
      <c r="BD2" s="13"/>
      <c r="BE2" s="13"/>
      <c r="BF2" s="13"/>
      <c r="BG2" s="13">
        <f t="shared" ref="BG2" si="12">ROUND(AVERAGE(BG3:BJ3),2)</f>
        <v>2.84</v>
      </c>
      <c r="BH2" s="13"/>
      <c r="BI2" s="13"/>
      <c r="BJ2" s="13"/>
      <c r="BK2" s="13">
        <f t="shared" ref="BK2" si="13">ROUND(AVERAGE(BK3:BN3),2)</f>
        <v>4.08</v>
      </c>
      <c r="BL2" s="13"/>
      <c r="BM2" s="13"/>
      <c r="BN2" s="13"/>
      <c r="BO2" s="13">
        <f t="shared" ref="BO2" si="14">ROUND(AVERAGE(BO3:BR3),2)</f>
        <v>3.08</v>
      </c>
      <c r="BP2" s="13"/>
      <c r="BQ2" s="13"/>
      <c r="BR2" s="13"/>
      <c r="BS2" s="13">
        <f t="shared" ref="BS2" si="15">ROUND(AVERAGE(BS3:BV3),2)</f>
        <v>3.67</v>
      </c>
      <c r="BT2" s="13"/>
      <c r="BU2" s="13"/>
      <c r="BV2" s="13"/>
      <c r="BW2" s="13">
        <f t="shared" ref="BW2" si="16">ROUND(AVERAGE(BW3:BZ3),2)</f>
        <v>3.92</v>
      </c>
      <c r="BX2" s="13"/>
      <c r="BY2" s="13"/>
      <c r="BZ2" s="13"/>
      <c r="CA2" s="13">
        <f t="shared" ref="CA2" si="17">ROUND(AVERAGE(CA3:CD3),2)</f>
        <v>2.5</v>
      </c>
      <c r="CB2" s="13"/>
      <c r="CC2" s="13"/>
      <c r="CD2" s="13"/>
      <c r="CE2" s="13">
        <f t="shared" ref="CE2" si="18">ROUND(AVERAGE(CE3:CH3),2)</f>
        <v>2.5</v>
      </c>
      <c r="CF2" s="13"/>
      <c r="CG2" s="13"/>
      <c r="CH2" s="13"/>
      <c r="CI2" s="13">
        <f t="shared" ref="CI2" si="19">ROUND(AVERAGE(CI3:CL3),2)</f>
        <v>3.58</v>
      </c>
      <c r="CJ2" s="13"/>
      <c r="CK2" s="13"/>
      <c r="CL2" s="13"/>
      <c r="CM2" s="13">
        <f t="shared" ref="CM2" si="20">ROUND(AVERAGE(CM3:CP3),2)</f>
        <v>3.17</v>
      </c>
      <c r="CN2" s="13"/>
      <c r="CO2" s="13"/>
      <c r="CP2" s="13"/>
      <c r="CQ2" s="13">
        <f t="shared" ref="CQ2" si="21">ROUND(AVERAGE(CQ3:CT3),2)</f>
        <v>3.75</v>
      </c>
      <c r="CR2" s="13"/>
      <c r="CS2" s="13"/>
      <c r="CT2" s="13"/>
      <c r="CU2" s="13">
        <f t="shared" ref="CU2" si="22">ROUND(AVERAGE(CU3:CX3),2)</f>
        <v>4</v>
      </c>
      <c r="CV2" s="13"/>
      <c r="CW2" s="13"/>
      <c r="CX2" s="13"/>
      <c r="CY2" s="13">
        <f t="shared" ref="CY2" si="23">ROUND(AVERAGE(CY3:DB3),2)</f>
        <v>3.59</v>
      </c>
      <c r="CZ2" s="13"/>
      <c r="DA2" s="13"/>
      <c r="DB2" s="13"/>
    </row>
    <row r="3" spans="1:109" ht="15.75" customHeight="1" x14ac:dyDescent="0.4">
      <c r="C3">
        <f>ROUND(AVERAGE(C5:C51),2)</f>
        <v>3</v>
      </c>
      <c r="D3">
        <f>ROUND(AVERAGE(D5:D51),2)</f>
        <v>4</v>
      </c>
      <c r="G3">
        <f>ROUND(AVERAGE(G5:G20),2)</f>
        <v>3.67</v>
      </c>
      <c r="H3">
        <f>ROUND(AVERAGE(H5:H20),2)</f>
        <v>2.67</v>
      </c>
      <c r="I3">
        <f t="shared" ref="I3:BT3" si="24">ROUND(AVERAGE(I5:I20),2)</f>
        <v>3.33</v>
      </c>
      <c r="J3">
        <f t="shared" si="24"/>
        <v>2.67</v>
      </c>
      <c r="K3">
        <f t="shared" si="24"/>
        <v>3.67</v>
      </c>
      <c r="L3">
        <f t="shared" si="24"/>
        <v>4.33</v>
      </c>
      <c r="M3">
        <f t="shared" si="24"/>
        <v>4</v>
      </c>
      <c r="N3">
        <f t="shared" si="24"/>
        <v>4</v>
      </c>
      <c r="O3">
        <f t="shared" si="24"/>
        <v>4</v>
      </c>
      <c r="P3">
        <f t="shared" si="24"/>
        <v>4.33</v>
      </c>
      <c r="Q3">
        <f t="shared" si="24"/>
        <v>3</v>
      </c>
      <c r="R3">
        <f t="shared" si="24"/>
        <v>3.67</v>
      </c>
      <c r="S3">
        <f t="shared" si="24"/>
        <v>4</v>
      </c>
      <c r="T3">
        <f t="shared" si="24"/>
        <v>3.67</v>
      </c>
      <c r="U3">
        <f t="shared" si="24"/>
        <v>4</v>
      </c>
      <c r="V3">
        <f t="shared" si="24"/>
        <v>4</v>
      </c>
      <c r="W3">
        <f t="shared" si="24"/>
        <v>3</v>
      </c>
      <c r="X3">
        <f t="shared" si="24"/>
        <v>2</v>
      </c>
      <c r="Y3">
        <f t="shared" si="24"/>
        <v>3</v>
      </c>
      <c r="Z3">
        <f t="shared" si="24"/>
        <v>3</v>
      </c>
      <c r="AA3">
        <f t="shared" si="24"/>
        <v>3.67</v>
      </c>
      <c r="AB3">
        <f t="shared" si="24"/>
        <v>3.67</v>
      </c>
      <c r="AC3">
        <f t="shared" si="24"/>
        <v>4</v>
      </c>
      <c r="AD3">
        <f t="shared" si="24"/>
        <v>3.67</v>
      </c>
      <c r="AE3">
        <f t="shared" si="24"/>
        <v>4</v>
      </c>
      <c r="AF3">
        <f t="shared" si="24"/>
        <v>4</v>
      </c>
      <c r="AG3">
        <f t="shared" si="24"/>
        <v>4</v>
      </c>
      <c r="AH3">
        <f t="shared" si="24"/>
        <v>3.67</v>
      </c>
      <c r="AI3">
        <f t="shared" si="24"/>
        <v>4</v>
      </c>
      <c r="AJ3">
        <f t="shared" si="24"/>
        <v>4</v>
      </c>
      <c r="AK3">
        <f t="shared" si="24"/>
        <v>3.67</v>
      </c>
      <c r="AL3">
        <f t="shared" si="24"/>
        <v>4.33</v>
      </c>
      <c r="AM3">
        <f t="shared" si="24"/>
        <v>3.33</v>
      </c>
      <c r="AN3">
        <f t="shared" si="24"/>
        <v>2.67</v>
      </c>
      <c r="AO3">
        <f t="shared" si="24"/>
        <v>3.33</v>
      </c>
      <c r="AP3">
        <f t="shared" si="24"/>
        <v>3</v>
      </c>
      <c r="AQ3">
        <f t="shared" si="24"/>
        <v>4</v>
      </c>
      <c r="AR3">
        <f t="shared" si="24"/>
        <v>3.67</v>
      </c>
      <c r="AS3">
        <f t="shared" si="24"/>
        <v>4</v>
      </c>
      <c r="AT3">
        <f t="shared" si="24"/>
        <v>4.33</v>
      </c>
      <c r="AU3">
        <f t="shared" si="24"/>
        <v>4.33</v>
      </c>
      <c r="AV3">
        <f t="shared" si="24"/>
        <v>4.67</v>
      </c>
      <c r="AW3">
        <f t="shared" si="24"/>
        <v>4</v>
      </c>
      <c r="AX3">
        <f t="shared" si="24"/>
        <v>4.33</v>
      </c>
      <c r="AY3">
        <f t="shared" si="24"/>
        <v>4</v>
      </c>
      <c r="AZ3">
        <f t="shared" si="24"/>
        <v>3.67</v>
      </c>
      <c r="BA3">
        <f t="shared" si="24"/>
        <v>4</v>
      </c>
      <c r="BB3">
        <f t="shared" si="24"/>
        <v>4</v>
      </c>
      <c r="BC3">
        <f t="shared" si="24"/>
        <v>4.33</v>
      </c>
      <c r="BD3">
        <f t="shared" si="24"/>
        <v>3.67</v>
      </c>
      <c r="BE3">
        <f t="shared" si="24"/>
        <v>4</v>
      </c>
      <c r="BF3">
        <f t="shared" si="24"/>
        <v>4</v>
      </c>
      <c r="BG3">
        <f t="shared" si="24"/>
        <v>3</v>
      </c>
      <c r="BH3">
        <f t="shared" si="24"/>
        <v>2.67</v>
      </c>
      <c r="BI3">
        <f t="shared" si="24"/>
        <v>3</v>
      </c>
      <c r="BJ3">
        <f t="shared" si="24"/>
        <v>2.67</v>
      </c>
      <c r="BK3">
        <f t="shared" si="24"/>
        <v>4</v>
      </c>
      <c r="BL3">
        <f t="shared" si="24"/>
        <v>4.33</v>
      </c>
      <c r="BM3">
        <f t="shared" si="24"/>
        <v>3.33</v>
      </c>
      <c r="BN3">
        <f t="shared" si="24"/>
        <v>4.67</v>
      </c>
      <c r="BO3">
        <f t="shared" si="24"/>
        <v>3</v>
      </c>
      <c r="BP3">
        <f t="shared" si="24"/>
        <v>2.67</v>
      </c>
      <c r="BQ3">
        <f t="shared" si="24"/>
        <v>3.33</v>
      </c>
      <c r="BR3">
        <f t="shared" si="24"/>
        <v>3.33</v>
      </c>
      <c r="BS3">
        <f t="shared" si="24"/>
        <v>4</v>
      </c>
      <c r="BT3">
        <f t="shared" si="24"/>
        <v>3.33</v>
      </c>
      <c r="BU3">
        <f t="shared" ref="BU3:DB3" si="25">ROUND(AVERAGE(BU5:BU20),2)</f>
        <v>3.67</v>
      </c>
      <c r="BV3">
        <f t="shared" si="25"/>
        <v>3.67</v>
      </c>
      <c r="BW3">
        <f t="shared" si="25"/>
        <v>4</v>
      </c>
      <c r="BX3">
        <f t="shared" si="25"/>
        <v>4</v>
      </c>
      <c r="BY3">
        <f t="shared" si="25"/>
        <v>3.67</v>
      </c>
      <c r="BZ3">
        <f t="shared" si="25"/>
        <v>4</v>
      </c>
      <c r="CA3">
        <f t="shared" si="25"/>
        <v>2.33</v>
      </c>
      <c r="CB3">
        <f t="shared" si="25"/>
        <v>2.33</v>
      </c>
      <c r="CC3">
        <f t="shared" si="25"/>
        <v>2.67</v>
      </c>
      <c r="CD3">
        <f t="shared" si="25"/>
        <v>2.67</v>
      </c>
      <c r="CE3">
        <f t="shared" si="25"/>
        <v>2.67</v>
      </c>
      <c r="CF3">
        <f t="shared" si="25"/>
        <v>2.33</v>
      </c>
      <c r="CG3">
        <f t="shared" si="25"/>
        <v>2.33</v>
      </c>
      <c r="CH3">
        <f t="shared" si="25"/>
        <v>2.67</v>
      </c>
      <c r="CI3">
        <f t="shared" si="25"/>
        <v>3.33</v>
      </c>
      <c r="CJ3">
        <f t="shared" si="25"/>
        <v>3.67</v>
      </c>
      <c r="CK3">
        <f t="shared" si="25"/>
        <v>3.33</v>
      </c>
      <c r="CL3">
        <f t="shared" si="25"/>
        <v>4</v>
      </c>
      <c r="CM3">
        <f t="shared" si="25"/>
        <v>3</v>
      </c>
      <c r="CN3">
        <f t="shared" si="25"/>
        <v>2.67</v>
      </c>
      <c r="CO3">
        <f t="shared" si="25"/>
        <v>3.67</v>
      </c>
      <c r="CP3">
        <f t="shared" si="25"/>
        <v>3.33</v>
      </c>
      <c r="CQ3">
        <f t="shared" si="25"/>
        <v>3.67</v>
      </c>
      <c r="CR3">
        <f t="shared" si="25"/>
        <v>3.33</v>
      </c>
      <c r="CS3">
        <f t="shared" si="25"/>
        <v>4</v>
      </c>
      <c r="CT3">
        <f t="shared" si="25"/>
        <v>4</v>
      </c>
      <c r="CU3">
        <f t="shared" si="25"/>
        <v>4</v>
      </c>
      <c r="CV3">
        <f t="shared" si="25"/>
        <v>4</v>
      </c>
      <c r="CW3">
        <f t="shared" si="25"/>
        <v>4</v>
      </c>
      <c r="CX3">
        <f t="shared" si="25"/>
        <v>4</v>
      </c>
      <c r="CY3">
        <f t="shared" si="25"/>
        <v>3.67</v>
      </c>
      <c r="CZ3">
        <f t="shared" si="25"/>
        <v>3.67</v>
      </c>
      <c r="DA3">
        <f t="shared" si="25"/>
        <v>3.33</v>
      </c>
      <c r="DB3">
        <f t="shared" si="25"/>
        <v>3.67</v>
      </c>
    </row>
    <row r="4" spans="1:109" ht="22.5" customHeight="1" x14ac:dyDescent="0.4">
      <c r="A4" s="3"/>
      <c r="B4" s="3" t="s">
        <v>1</v>
      </c>
      <c r="C4" s="3" t="s">
        <v>2</v>
      </c>
      <c r="D4" s="3" t="s">
        <v>3</v>
      </c>
      <c r="E4" s="3" t="s">
        <v>8</v>
      </c>
      <c r="F4" s="3" t="s">
        <v>9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  <c r="BP4" s="3" t="s">
        <v>67</v>
      </c>
      <c r="BQ4" s="3" t="s">
        <v>68</v>
      </c>
      <c r="BR4" s="3" t="s">
        <v>69</v>
      </c>
      <c r="BS4" s="3" t="s">
        <v>70</v>
      </c>
      <c r="BT4" s="3" t="s">
        <v>71</v>
      </c>
      <c r="BU4" s="3" t="s">
        <v>72</v>
      </c>
      <c r="BV4" s="3" t="s">
        <v>73</v>
      </c>
      <c r="BW4" s="3" t="s">
        <v>74</v>
      </c>
      <c r="BX4" s="3" t="s">
        <v>75</v>
      </c>
      <c r="BY4" s="3" t="s">
        <v>76</v>
      </c>
      <c r="BZ4" s="3" t="s">
        <v>77</v>
      </c>
      <c r="CA4" s="3" t="s">
        <v>78</v>
      </c>
      <c r="CB4" s="3" t="s">
        <v>79</v>
      </c>
      <c r="CC4" s="3" t="s">
        <v>80</v>
      </c>
      <c r="CD4" s="3" t="s">
        <v>81</v>
      </c>
      <c r="CE4" s="3" t="s">
        <v>82</v>
      </c>
      <c r="CF4" s="3" t="s">
        <v>83</v>
      </c>
      <c r="CG4" s="3" t="s">
        <v>84</v>
      </c>
      <c r="CH4" s="3" t="s">
        <v>85</v>
      </c>
      <c r="CI4" s="3" t="s">
        <v>86</v>
      </c>
      <c r="CJ4" s="3" t="s">
        <v>87</v>
      </c>
      <c r="CK4" s="3" t="s">
        <v>88</v>
      </c>
      <c r="CL4" s="3" t="s">
        <v>89</v>
      </c>
      <c r="CM4" s="3" t="s">
        <v>90</v>
      </c>
      <c r="CN4" s="3" t="s">
        <v>91</v>
      </c>
      <c r="CO4" s="3" t="s">
        <v>92</v>
      </c>
      <c r="CP4" s="3" t="s">
        <v>93</v>
      </c>
      <c r="CQ4" s="3" t="s">
        <v>94</v>
      </c>
      <c r="CR4" s="3" t="s">
        <v>95</v>
      </c>
      <c r="CS4" s="3" t="s">
        <v>96</v>
      </c>
      <c r="CT4" s="3" t="s">
        <v>97</v>
      </c>
      <c r="CU4" s="3" t="s">
        <v>98</v>
      </c>
      <c r="CV4" s="3" t="s">
        <v>99</v>
      </c>
      <c r="CW4" s="3" t="s">
        <v>100</v>
      </c>
      <c r="CX4" s="3" t="s">
        <v>101</v>
      </c>
      <c r="CY4" s="3" t="s">
        <v>102</v>
      </c>
      <c r="CZ4" s="3" t="s">
        <v>103</v>
      </c>
      <c r="DA4" s="3" t="s">
        <v>104</v>
      </c>
      <c r="DB4" s="3" t="s">
        <v>105</v>
      </c>
      <c r="DC4" s="3" t="s">
        <v>106</v>
      </c>
    </row>
    <row r="5" spans="1:109" x14ac:dyDescent="0.4">
      <c r="B5" t="str" cm="1">
        <f t="array" ref="B5:DE7">_xlfn._xlws.FILTER(Resp!B:DE, Resp!B:B="De 1 a 3 años", "No hay datos")</f>
        <v>De 1 a 3 años</v>
      </c>
      <c r="C5">
        <v>3</v>
      </c>
      <c r="D5">
        <v>4</v>
      </c>
      <c r="E5" t="str">
        <v>Solo con supervisión</v>
      </c>
      <c r="F5">
        <v>0</v>
      </c>
      <c r="G5">
        <v>4</v>
      </c>
      <c r="H5">
        <v>3</v>
      </c>
      <c r="I5">
        <v>4</v>
      </c>
      <c r="J5">
        <v>3</v>
      </c>
      <c r="K5">
        <v>3</v>
      </c>
      <c r="L5">
        <v>5</v>
      </c>
      <c r="M5">
        <v>5</v>
      </c>
      <c r="N5">
        <v>4</v>
      </c>
      <c r="O5">
        <v>4</v>
      </c>
      <c r="P5">
        <v>4</v>
      </c>
      <c r="Q5">
        <v>1</v>
      </c>
      <c r="R5">
        <v>3</v>
      </c>
      <c r="S5">
        <v>5</v>
      </c>
      <c r="T5">
        <v>4</v>
      </c>
      <c r="U5">
        <v>5</v>
      </c>
      <c r="V5">
        <v>5</v>
      </c>
      <c r="W5">
        <v>2</v>
      </c>
      <c r="X5">
        <v>1</v>
      </c>
      <c r="Y5">
        <v>2</v>
      </c>
      <c r="Z5">
        <v>2</v>
      </c>
      <c r="AA5">
        <v>4</v>
      </c>
      <c r="AB5">
        <v>4</v>
      </c>
      <c r="AC5">
        <v>5</v>
      </c>
      <c r="AD5">
        <v>4</v>
      </c>
      <c r="AE5">
        <v>3</v>
      </c>
      <c r="AF5">
        <v>4</v>
      </c>
      <c r="AG5">
        <v>4</v>
      </c>
      <c r="AH5">
        <v>4</v>
      </c>
      <c r="AI5">
        <v>4</v>
      </c>
      <c r="AJ5">
        <v>4</v>
      </c>
      <c r="AK5">
        <v>3</v>
      </c>
      <c r="AL5">
        <v>5</v>
      </c>
      <c r="AM5">
        <v>3</v>
      </c>
      <c r="AN5">
        <v>1</v>
      </c>
      <c r="AO5">
        <v>3</v>
      </c>
      <c r="AP5">
        <v>2</v>
      </c>
      <c r="AQ5">
        <v>4</v>
      </c>
      <c r="AR5">
        <v>3</v>
      </c>
      <c r="AS5">
        <v>4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4</v>
      </c>
      <c r="BA5">
        <v>5</v>
      </c>
      <c r="BB5">
        <v>5</v>
      </c>
      <c r="BC5">
        <v>4</v>
      </c>
      <c r="BD5">
        <v>3</v>
      </c>
      <c r="BE5">
        <v>3</v>
      </c>
      <c r="BF5">
        <v>4</v>
      </c>
      <c r="BG5">
        <v>3</v>
      </c>
      <c r="BH5">
        <v>2</v>
      </c>
      <c r="BI5">
        <v>3</v>
      </c>
      <c r="BJ5">
        <v>3</v>
      </c>
      <c r="BK5">
        <v>5</v>
      </c>
      <c r="BL5">
        <v>5</v>
      </c>
      <c r="BM5">
        <v>2</v>
      </c>
      <c r="BN5">
        <v>5</v>
      </c>
      <c r="BO5">
        <v>3</v>
      </c>
      <c r="BP5">
        <v>2</v>
      </c>
      <c r="BQ5">
        <v>4</v>
      </c>
      <c r="BR5">
        <v>4</v>
      </c>
      <c r="BS5">
        <v>4</v>
      </c>
      <c r="BT5">
        <v>2</v>
      </c>
      <c r="BU5">
        <v>3</v>
      </c>
      <c r="BV5">
        <v>3</v>
      </c>
      <c r="BW5">
        <v>5</v>
      </c>
      <c r="BX5">
        <v>5</v>
      </c>
      <c r="BY5">
        <v>4</v>
      </c>
      <c r="BZ5">
        <v>5</v>
      </c>
      <c r="CA5">
        <v>2</v>
      </c>
      <c r="CB5">
        <v>2</v>
      </c>
      <c r="CC5">
        <v>3</v>
      </c>
      <c r="CD5">
        <v>3</v>
      </c>
      <c r="CE5">
        <v>3</v>
      </c>
      <c r="CF5">
        <v>2</v>
      </c>
      <c r="CG5">
        <v>2</v>
      </c>
      <c r="CH5">
        <v>3</v>
      </c>
      <c r="CI5">
        <v>3</v>
      </c>
      <c r="CJ5">
        <v>4</v>
      </c>
      <c r="CK5">
        <v>3</v>
      </c>
      <c r="CL5">
        <v>5</v>
      </c>
      <c r="CM5">
        <v>3</v>
      </c>
      <c r="CN5">
        <v>2</v>
      </c>
      <c r="CO5">
        <v>5</v>
      </c>
      <c r="CP5">
        <v>4</v>
      </c>
      <c r="CQ5">
        <v>3</v>
      </c>
      <c r="CR5">
        <v>2</v>
      </c>
      <c r="CS5">
        <v>4</v>
      </c>
      <c r="CT5">
        <v>4</v>
      </c>
      <c r="CU5">
        <v>5</v>
      </c>
      <c r="CV5">
        <v>5</v>
      </c>
      <c r="CW5">
        <v>5</v>
      </c>
      <c r="CX5">
        <v>5</v>
      </c>
      <c r="CY5">
        <v>4</v>
      </c>
      <c r="CZ5">
        <v>4</v>
      </c>
      <c r="DA5">
        <v>3</v>
      </c>
      <c r="DB5">
        <v>4</v>
      </c>
      <c r="DC5" t="str">
        <v>4-5 horas</v>
      </c>
      <c r="DD5">
        <v>0</v>
      </c>
      <c r="DE5">
        <v>0</v>
      </c>
    </row>
    <row r="6" spans="1:109" x14ac:dyDescent="0.4">
      <c r="B6" t="str">
        <v>De 1 a 3 años</v>
      </c>
      <c r="C6">
        <v>4</v>
      </c>
      <c r="D6">
        <v>5</v>
      </c>
      <c r="E6" t="str">
        <v>Solo con supervisión</v>
      </c>
      <c r="F6">
        <v>0</v>
      </c>
      <c r="G6">
        <v>3</v>
      </c>
      <c r="H6">
        <v>3</v>
      </c>
      <c r="I6">
        <v>3</v>
      </c>
      <c r="J6">
        <v>3</v>
      </c>
      <c r="K6">
        <v>4</v>
      </c>
      <c r="L6">
        <v>4</v>
      </c>
      <c r="M6">
        <v>3</v>
      </c>
      <c r="N6">
        <v>4</v>
      </c>
      <c r="O6">
        <v>4</v>
      </c>
      <c r="P6">
        <v>5</v>
      </c>
      <c r="Q6">
        <v>4</v>
      </c>
      <c r="R6">
        <v>4</v>
      </c>
      <c r="S6">
        <v>3</v>
      </c>
      <c r="T6">
        <v>3</v>
      </c>
      <c r="U6">
        <v>3</v>
      </c>
      <c r="V6">
        <v>3</v>
      </c>
      <c r="W6">
        <v>3</v>
      </c>
      <c r="X6">
        <v>3</v>
      </c>
      <c r="Y6">
        <v>3</v>
      </c>
      <c r="Z6">
        <v>3</v>
      </c>
      <c r="AA6">
        <v>3</v>
      </c>
      <c r="AB6">
        <v>3</v>
      </c>
      <c r="AC6">
        <v>3</v>
      </c>
      <c r="AD6">
        <v>3</v>
      </c>
      <c r="AE6">
        <v>5</v>
      </c>
      <c r="AF6">
        <v>4</v>
      </c>
      <c r="AG6">
        <v>4</v>
      </c>
      <c r="AH6">
        <v>3</v>
      </c>
      <c r="AI6">
        <v>4</v>
      </c>
      <c r="AJ6">
        <v>4</v>
      </c>
      <c r="AK6">
        <v>4</v>
      </c>
      <c r="AL6">
        <v>4</v>
      </c>
      <c r="AM6">
        <v>3</v>
      </c>
      <c r="AN6">
        <v>3</v>
      </c>
      <c r="AO6">
        <v>3</v>
      </c>
      <c r="AP6">
        <v>3</v>
      </c>
      <c r="AQ6">
        <v>4</v>
      </c>
      <c r="AR6">
        <v>4</v>
      </c>
      <c r="AS6">
        <v>4</v>
      </c>
      <c r="AT6">
        <v>4</v>
      </c>
      <c r="AU6">
        <v>4</v>
      </c>
      <c r="AV6">
        <v>5</v>
      </c>
      <c r="AW6">
        <v>3</v>
      </c>
      <c r="AX6">
        <v>4</v>
      </c>
      <c r="AY6">
        <v>3</v>
      </c>
      <c r="AZ6">
        <v>3</v>
      </c>
      <c r="BA6">
        <v>3</v>
      </c>
      <c r="BB6">
        <v>3</v>
      </c>
      <c r="BC6">
        <v>5</v>
      </c>
      <c r="BD6">
        <v>5</v>
      </c>
      <c r="BE6">
        <v>5</v>
      </c>
      <c r="BF6">
        <v>5</v>
      </c>
      <c r="BG6">
        <v>3</v>
      </c>
      <c r="BH6">
        <v>3</v>
      </c>
      <c r="BI6">
        <v>3</v>
      </c>
      <c r="BJ6">
        <v>3</v>
      </c>
      <c r="BK6">
        <v>3</v>
      </c>
      <c r="BL6">
        <v>4</v>
      </c>
      <c r="BM6">
        <v>4</v>
      </c>
      <c r="BN6">
        <v>5</v>
      </c>
      <c r="BO6">
        <v>3</v>
      </c>
      <c r="BP6">
        <v>3</v>
      </c>
      <c r="BQ6">
        <v>3</v>
      </c>
      <c r="BR6">
        <v>3</v>
      </c>
      <c r="BS6">
        <v>4</v>
      </c>
      <c r="BT6">
        <v>4</v>
      </c>
      <c r="BU6">
        <v>4</v>
      </c>
      <c r="BV6">
        <v>4</v>
      </c>
      <c r="BW6">
        <v>4</v>
      </c>
      <c r="BX6">
        <v>4</v>
      </c>
      <c r="BY6">
        <v>4</v>
      </c>
      <c r="BZ6">
        <v>4</v>
      </c>
      <c r="CA6">
        <v>3</v>
      </c>
      <c r="CB6">
        <v>3</v>
      </c>
      <c r="CC6">
        <v>3</v>
      </c>
      <c r="CD6">
        <v>3</v>
      </c>
      <c r="CE6">
        <v>4</v>
      </c>
      <c r="CF6">
        <v>4</v>
      </c>
      <c r="CG6">
        <v>4</v>
      </c>
      <c r="CH6">
        <v>4</v>
      </c>
      <c r="CI6">
        <v>3</v>
      </c>
      <c r="CJ6">
        <v>3</v>
      </c>
      <c r="CK6">
        <v>3</v>
      </c>
      <c r="CL6">
        <v>3</v>
      </c>
      <c r="CM6">
        <v>3</v>
      </c>
      <c r="CN6">
        <v>3</v>
      </c>
      <c r="CO6">
        <v>3</v>
      </c>
      <c r="CP6">
        <v>3</v>
      </c>
      <c r="CQ6">
        <v>4</v>
      </c>
      <c r="CR6">
        <v>4</v>
      </c>
      <c r="CS6">
        <v>4</v>
      </c>
      <c r="CT6">
        <v>4</v>
      </c>
      <c r="CU6">
        <v>3</v>
      </c>
      <c r="CV6">
        <v>3</v>
      </c>
      <c r="CW6">
        <v>3</v>
      </c>
      <c r="CX6">
        <v>3</v>
      </c>
      <c r="CY6">
        <v>3</v>
      </c>
      <c r="CZ6">
        <v>3</v>
      </c>
      <c r="DA6">
        <v>3</v>
      </c>
      <c r="DB6">
        <v>3</v>
      </c>
      <c r="DC6" t="str">
        <v>2-3 horas</v>
      </c>
      <c r="DD6">
        <v>0</v>
      </c>
      <c r="DE6">
        <v>0</v>
      </c>
    </row>
    <row r="7" spans="1:109" x14ac:dyDescent="0.4">
      <c r="B7" t="str">
        <v>De 1 a 3 años</v>
      </c>
      <c r="C7">
        <v>2</v>
      </c>
      <c r="D7">
        <v>3</v>
      </c>
      <c r="E7" t="str">
        <v>Solo con supervisión</v>
      </c>
      <c r="F7" t="str">
        <v>El test por si solo no es relevante. La relevancia  reside en que la prueba sea acorde a las competencias y contenidos abordados a lo largo del curso. Por qué tanto peso a las expresiones regulares? Por qué no hay más preguntas sobre el flujo de ejecución de un programa? Está bien balanceado el tipo de preguntas y dificultad? Y por último, es un examen de tipo test lo más adecuado para un módulo de programación?</v>
      </c>
      <c r="G7">
        <v>4</v>
      </c>
      <c r="H7">
        <v>2</v>
      </c>
      <c r="I7">
        <v>3</v>
      </c>
      <c r="J7">
        <v>2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4</v>
      </c>
      <c r="W7">
        <v>4</v>
      </c>
      <c r="X7">
        <v>2</v>
      </c>
      <c r="Y7">
        <v>4</v>
      </c>
      <c r="Z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  <c r="AL7">
        <v>4</v>
      </c>
      <c r="AM7">
        <v>4</v>
      </c>
      <c r="AN7">
        <v>4</v>
      </c>
      <c r="AO7">
        <v>4</v>
      </c>
      <c r="AP7">
        <v>4</v>
      </c>
      <c r="AQ7">
        <v>4</v>
      </c>
      <c r="AR7">
        <v>4</v>
      </c>
      <c r="AS7">
        <v>4</v>
      </c>
      <c r="AT7">
        <v>4</v>
      </c>
      <c r="AU7">
        <v>4</v>
      </c>
      <c r="AV7">
        <v>4</v>
      </c>
      <c r="AW7">
        <v>4</v>
      </c>
      <c r="AX7">
        <v>4</v>
      </c>
      <c r="AY7">
        <v>4</v>
      </c>
      <c r="AZ7">
        <v>4</v>
      </c>
      <c r="BA7">
        <v>4</v>
      </c>
      <c r="BB7">
        <v>4</v>
      </c>
      <c r="BC7">
        <v>4</v>
      </c>
      <c r="BD7">
        <v>3</v>
      </c>
      <c r="BE7">
        <v>4</v>
      </c>
      <c r="BF7">
        <v>3</v>
      </c>
      <c r="BG7">
        <v>3</v>
      </c>
      <c r="BH7">
        <v>3</v>
      </c>
      <c r="BI7">
        <v>3</v>
      </c>
      <c r="BJ7">
        <v>2</v>
      </c>
      <c r="BK7">
        <v>4</v>
      </c>
      <c r="BL7">
        <v>4</v>
      </c>
      <c r="BM7">
        <v>4</v>
      </c>
      <c r="BN7">
        <v>4</v>
      </c>
      <c r="BO7">
        <v>3</v>
      </c>
      <c r="BP7">
        <v>3</v>
      </c>
      <c r="BQ7">
        <v>3</v>
      </c>
      <c r="BR7">
        <v>3</v>
      </c>
      <c r="BS7">
        <v>4</v>
      </c>
      <c r="BT7">
        <v>4</v>
      </c>
      <c r="BU7">
        <v>4</v>
      </c>
      <c r="BV7">
        <v>4</v>
      </c>
      <c r="BW7">
        <v>3</v>
      </c>
      <c r="BX7">
        <v>3</v>
      </c>
      <c r="BY7">
        <v>3</v>
      </c>
      <c r="BZ7">
        <v>3</v>
      </c>
      <c r="CA7">
        <v>2</v>
      </c>
      <c r="CB7">
        <v>2</v>
      </c>
      <c r="CC7">
        <v>2</v>
      </c>
      <c r="CD7">
        <v>2</v>
      </c>
      <c r="CE7">
        <v>1</v>
      </c>
      <c r="CF7">
        <v>1</v>
      </c>
      <c r="CG7">
        <v>1</v>
      </c>
      <c r="CH7">
        <v>1</v>
      </c>
      <c r="CI7">
        <v>4</v>
      </c>
      <c r="CJ7">
        <v>4</v>
      </c>
      <c r="CK7">
        <v>4</v>
      </c>
      <c r="CL7">
        <v>4</v>
      </c>
      <c r="CM7">
        <v>3</v>
      </c>
      <c r="CN7">
        <v>3</v>
      </c>
      <c r="CO7">
        <v>3</v>
      </c>
      <c r="CP7">
        <v>3</v>
      </c>
      <c r="CQ7">
        <v>4</v>
      </c>
      <c r="CR7">
        <v>4</v>
      </c>
      <c r="CS7">
        <v>4</v>
      </c>
      <c r="CT7">
        <v>4</v>
      </c>
      <c r="CU7">
        <v>4</v>
      </c>
      <c r="CV7">
        <v>4</v>
      </c>
      <c r="CW7">
        <v>4</v>
      </c>
      <c r="CX7">
        <v>4</v>
      </c>
      <c r="CY7">
        <v>4</v>
      </c>
      <c r="CZ7">
        <v>4</v>
      </c>
      <c r="DA7">
        <v>4</v>
      </c>
      <c r="DB7">
        <v>4</v>
      </c>
      <c r="DC7" t="str">
        <v>1 hora</v>
      </c>
      <c r="DD7">
        <v>0</v>
      </c>
      <c r="DE7">
        <v>0</v>
      </c>
    </row>
    <row r="22" spans="1:32" x14ac:dyDescent="0.4">
      <c r="H22">
        <f>((COLUMN()-8)*4)+7</f>
        <v>7</v>
      </c>
      <c r="I22">
        <f t="shared" ref="I22:AF22" si="26">((COLUMN()-8)*4)+7</f>
        <v>11</v>
      </c>
      <c r="J22">
        <f t="shared" si="26"/>
        <v>15</v>
      </c>
      <c r="K22">
        <f t="shared" si="26"/>
        <v>19</v>
      </c>
      <c r="L22">
        <f t="shared" si="26"/>
        <v>23</v>
      </c>
      <c r="M22">
        <f t="shared" si="26"/>
        <v>27</v>
      </c>
      <c r="N22">
        <f t="shared" si="26"/>
        <v>31</v>
      </c>
      <c r="O22">
        <f t="shared" si="26"/>
        <v>35</v>
      </c>
      <c r="P22">
        <f t="shared" si="26"/>
        <v>39</v>
      </c>
      <c r="Q22">
        <f t="shared" si="26"/>
        <v>43</v>
      </c>
      <c r="R22">
        <f t="shared" si="26"/>
        <v>47</v>
      </c>
      <c r="S22">
        <f t="shared" si="26"/>
        <v>51</v>
      </c>
      <c r="T22">
        <f t="shared" si="26"/>
        <v>55</v>
      </c>
      <c r="U22">
        <f t="shared" si="26"/>
        <v>59</v>
      </c>
      <c r="V22">
        <f t="shared" si="26"/>
        <v>63</v>
      </c>
      <c r="W22">
        <f t="shared" si="26"/>
        <v>67</v>
      </c>
      <c r="X22">
        <f t="shared" si="26"/>
        <v>71</v>
      </c>
      <c r="Y22">
        <f t="shared" si="26"/>
        <v>75</v>
      </c>
      <c r="Z22">
        <f t="shared" si="26"/>
        <v>79</v>
      </c>
      <c r="AA22">
        <f t="shared" si="26"/>
        <v>83</v>
      </c>
      <c r="AB22">
        <f t="shared" si="26"/>
        <v>87</v>
      </c>
      <c r="AC22">
        <f t="shared" si="26"/>
        <v>91</v>
      </c>
      <c r="AD22">
        <f t="shared" si="26"/>
        <v>95</v>
      </c>
      <c r="AE22">
        <f t="shared" si="26"/>
        <v>99</v>
      </c>
      <c r="AF22">
        <f t="shared" si="26"/>
        <v>103</v>
      </c>
    </row>
    <row r="23" spans="1:32" x14ac:dyDescent="0.4">
      <c r="A23" s="6"/>
      <c r="E23" s="11" t="s">
        <v>145</v>
      </c>
      <c r="F23" s="11"/>
      <c r="G23" s="11"/>
      <c r="H23" s="6" cm="1">
        <f t="array" ref="H23">INDEX($A:$FF,3,H$22)</f>
        <v>3.67</v>
      </c>
      <c r="I23" s="6" cm="1">
        <f t="array" ref="I23">INDEX($A:$FF,3,I$22)</f>
        <v>3.67</v>
      </c>
      <c r="J23" s="6" cm="1">
        <f t="array" ref="J23">INDEX($A:$FF,3,J$22)</f>
        <v>4</v>
      </c>
      <c r="K23" s="6" cm="1">
        <f t="array" ref="K23">INDEX($A:$FF,3,K$22)</f>
        <v>4</v>
      </c>
      <c r="L23" s="6" cm="1">
        <f t="array" ref="L23">INDEX($A:$FF,3,L$22)</f>
        <v>3</v>
      </c>
      <c r="M23" s="6" cm="1">
        <f t="array" ref="M23">INDEX($A:$FF,3,M$22)</f>
        <v>3.67</v>
      </c>
      <c r="N23" s="6" cm="1">
        <f t="array" ref="N23">INDEX($A:$FF,3,N$22)</f>
        <v>4</v>
      </c>
      <c r="O23" s="6" cm="1">
        <f t="array" ref="O23">INDEX($A:$FF,3,O$22)</f>
        <v>4</v>
      </c>
      <c r="P23" s="6" cm="1">
        <f t="array" ref="P23">INDEX($A:$FF,3,P$22)</f>
        <v>3.33</v>
      </c>
      <c r="Q23" s="6" cm="1">
        <f t="array" ref="Q23">INDEX($A:$FF,3,Q$22)</f>
        <v>4</v>
      </c>
      <c r="R23" s="6" cm="1">
        <f t="array" ref="R23">INDEX($A:$FF,3,R$22)</f>
        <v>4.33</v>
      </c>
      <c r="S23" s="6" cm="1">
        <f t="array" ref="S23">INDEX($A:$FF,3,S$22)</f>
        <v>4</v>
      </c>
      <c r="T23" s="6" cm="1">
        <f t="array" ref="T23">INDEX($A:$FF,3,T$22)</f>
        <v>4.33</v>
      </c>
      <c r="U23" s="6" cm="1">
        <f t="array" ref="U23">INDEX($A:$FF,3,U$22)</f>
        <v>3</v>
      </c>
      <c r="V23" s="6" cm="1">
        <f t="array" ref="V23">INDEX($A:$FF,3,V$22)</f>
        <v>4</v>
      </c>
      <c r="W23" s="6" cm="1">
        <f t="array" ref="W23">INDEX($A:$FF,3,W$22)</f>
        <v>3</v>
      </c>
      <c r="X23" s="6" cm="1">
        <f t="array" ref="X23">INDEX($A:$FF,3,X$22)</f>
        <v>4</v>
      </c>
      <c r="Y23" s="6" cm="1">
        <f t="array" ref="Y23">INDEX($A:$FF,3,Y$22)</f>
        <v>4</v>
      </c>
      <c r="Z23" s="6" cm="1">
        <f t="array" ref="Z23">INDEX($A:$FF,3,Z$22)</f>
        <v>2.33</v>
      </c>
      <c r="AA23" s="6" cm="1">
        <f t="array" ref="AA23">INDEX($A:$FF,3,AA$22)</f>
        <v>2.67</v>
      </c>
      <c r="AB23" s="6" cm="1">
        <f t="array" ref="AB23">INDEX($A:$FF,3,AB$22)</f>
        <v>3.33</v>
      </c>
      <c r="AC23" s="6" cm="1">
        <f t="array" ref="AC23">INDEX($A:$FF,3,AC$22)</f>
        <v>3</v>
      </c>
      <c r="AD23" s="6" cm="1">
        <f t="array" ref="AD23">INDEX($A:$FF,3,AD$22)</f>
        <v>3.67</v>
      </c>
      <c r="AE23" s="6" cm="1">
        <f t="array" ref="AE23">INDEX($A:$FF,3,AE$22)</f>
        <v>4</v>
      </c>
      <c r="AF23" s="6" cm="1">
        <f t="array" ref="AF23">INDEX($A:$FF,3,AF$22)</f>
        <v>3.67</v>
      </c>
    </row>
    <row r="24" spans="1:32" x14ac:dyDescent="0.4">
      <c r="E24" s="11" t="s">
        <v>146</v>
      </c>
      <c r="F24" s="11"/>
      <c r="G24" s="11"/>
      <c r="H24" s="6" cm="1">
        <f t="array" ref="H24">INDEX($A:$FF,3,H$22+1)</f>
        <v>2.67</v>
      </c>
      <c r="I24" s="6" cm="1">
        <f t="array" ref="I24">INDEX($A:$FF,3,I$22+1)</f>
        <v>4.33</v>
      </c>
      <c r="J24" s="6" cm="1">
        <f t="array" ref="J24">INDEX($A:$FF,3,J$22+1)</f>
        <v>4.33</v>
      </c>
      <c r="K24" s="6" cm="1">
        <f t="array" ref="K24">INDEX($A:$FF,3,K$22+1)</f>
        <v>3.67</v>
      </c>
      <c r="L24" s="6" cm="1">
        <f t="array" ref="L24">INDEX($A:$FF,3,L$22+1)</f>
        <v>2</v>
      </c>
      <c r="M24" s="6" cm="1">
        <f t="array" ref="M24">INDEX($A:$FF,3,M$22+1)</f>
        <v>3.67</v>
      </c>
      <c r="N24" s="6" cm="1">
        <f t="array" ref="N24">INDEX($A:$FF,3,N$22+1)</f>
        <v>4</v>
      </c>
      <c r="O24" s="6" cm="1">
        <f t="array" ref="O24">INDEX($A:$FF,3,O$22+1)</f>
        <v>4</v>
      </c>
      <c r="P24" s="6" cm="1">
        <f t="array" ref="P24">INDEX($A:$FF,3,P$22+1)</f>
        <v>2.67</v>
      </c>
      <c r="Q24" s="6" cm="1">
        <f t="array" ref="Q24">INDEX($A:$FF,3,Q$22+1)</f>
        <v>3.67</v>
      </c>
      <c r="R24" s="6" cm="1">
        <f t="array" ref="R24">INDEX($A:$FF,3,R$22+1)</f>
        <v>4.67</v>
      </c>
      <c r="S24" s="6" cm="1">
        <f t="array" ref="S24">INDEX($A:$FF,3,S$22+1)</f>
        <v>3.67</v>
      </c>
      <c r="T24" s="6" cm="1">
        <f t="array" ref="T24">INDEX($A:$FF,3,T$22+1)</f>
        <v>3.67</v>
      </c>
      <c r="U24" s="6" cm="1">
        <f t="array" ref="U24">INDEX($A:$FF,3,U$22+1)</f>
        <v>2.67</v>
      </c>
      <c r="V24" s="6" cm="1">
        <f t="array" ref="V24">INDEX($A:$FF,3,V$22+1)</f>
        <v>4.33</v>
      </c>
      <c r="W24" s="6" cm="1">
        <f t="array" ref="W24">INDEX($A:$FF,3,W$22+1)</f>
        <v>2.67</v>
      </c>
      <c r="X24" s="6" cm="1">
        <f t="array" ref="X24">INDEX($A:$FF,3,X$22+1)</f>
        <v>3.33</v>
      </c>
      <c r="Y24" s="6" cm="1">
        <f t="array" ref="Y24">INDEX($A:$FF,3,Y$22+1)</f>
        <v>4</v>
      </c>
      <c r="Z24" s="6" cm="1">
        <f t="array" ref="Z24">INDEX($A:$FF,3,Z$22+1)</f>
        <v>2.33</v>
      </c>
      <c r="AA24" s="6" cm="1">
        <f t="array" ref="AA24">INDEX($A:$FF,3,AA$22+1)</f>
        <v>2.33</v>
      </c>
      <c r="AB24" s="6" cm="1">
        <f t="array" ref="AB24">INDEX($A:$FF,3,AB$22+1)</f>
        <v>3.67</v>
      </c>
      <c r="AC24" s="6" cm="1">
        <f t="array" ref="AC24">INDEX($A:$FF,3,AC$22+1)</f>
        <v>2.67</v>
      </c>
      <c r="AD24" s="6" cm="1">
        <f t="array" ref="AD24">INDEX($A:$FF,3,AD$22+1)</f>
        <v>3.33</v>
      </c>
      <c r="AE24" s="6" cm="1">
        <f t="array" ref="AE24">INDEX($A:$FF,3,AE$22+1)</f>
        <v>4</v>
      </c>
      <c r="AF24" s="6" cm="1">
        <f t="array" ref="AF24">INDEX($A:$FF,3,AF$22+1)</f>
        <v>3.67</v>
      </c>
    </row>
    <row r="25" spans="1:32" x14ac:dyDescent="0.4">
      <c r="E25" s="11" t="s">
        <v>144</v>
      </c>
      <c r="F25" s="11"/>
      <c r="G25" s="11"/>
      <c r="H25" cm="1">
        <f t="array" ref="H25">INDEX($A:$FF,3,H$22+2)</f>
        <v>3.33</v>
      </c>
      <c r="I25" cm="1">
        <f t="array" ref="I25">INDEX($A:$FF,3,I$22+2)</f>
        <v>4</v>
      </c>
      <c r="J25" cm="1">
        <f t="array" ref="J25">INDEX($A:$FF,3,J$22+2)</f>
        <v>3</v>
      </c>
      <c r="K25" cm="1">
        <f t="array" ref="K25">INDEX($A:$FF,3,K$22+2)</f>
        <v>4</v>
      </c>
      <c r="L25" cm="1">
        <f t="array" ref="L25">INDEX($A:$FF,3,L$22+2)</f>
        <v>3</v>
      </c>
      <c r="M25" cm="1">
        <f t="array" ref="M25">INDEX($A:$FF,3,M$22+2)</f>
        <v>4</v>
      </c>
      <c r="N25" cm="1">
        <f t="array" ref="N25">INDEX($A:$FF,3,N$22+2)</f>
        <v>4</v>
      </c>
      <c r="O25" cm="1">
        <f t="array" ref="O25">INDEX($A:$FF,3,O$22+2)</f>
        <v>3.67</v>
      </c>
      <c r="P25" cm="1">
        <f t="array" ref="P25">INDEX($A:$FF,3,P$22+2)</f>
        <v>3.33</v>
      </c>
      <c r="Q25" cm="1">
        <f t="array" ref="Q25">INDEX($A:$FF,3,Q$22+2)</f>
        <v>4</v>
      </c>
      <c r="R25" cm="1">
        <f t="array" ref="R25">INDEX($A:$FF,3,R$22+2)</f>
        <v>4</v>
      </c>
      <c r="S25" cm="1">
        <f t="array" ref="S25">INDEX($A:$FF,3,S$22+2)</f>
        <v>4</v>
      </c>
      <c r="T25" cm="1">
        <f t="array" ref="T25">INDEX($A:$FF,3,T$22+2)</f>
        <v>4</v>
      </c>
      <c r="U25" cm="1">
        <f t="array" ref="U25">INDEX($A:$FF,3,U$22+2)</f>
        <v>3</v>
      </c>
      <c r="V25" cm="1">
        <f t="array" ref="V25">INDEX($A:$FF,3,V$22+2)</f>
        <v>3.33</v>
      </c>
      <c r="W25" cm="1">
        <f t="array" ref="W25">INDEX($A:$FF,3,W$22+2)</f>
        <v>3.33</v>
      </c>
      <c r="X25" cm="1">
        <f t="array" ref="X25">INDEX($A:$FF,3,X$22+2)</f>
        <v>3.67</v>
      </c>
      <c r="Y25" cm="1">
        <f t="array" ref="Y25">INDEX($A:$FF,3,Y$22+2)</f>
        <v>3.67</v>
      </c>
      <c r="Z25" cm="1">
        <f t="array" ref="Z25">INDEX($A:$FF,3,Z$22+2)</f>
        <v>2.67</v>
      </c>
      <c r="AA25" cm="1">
        <f t="array" ref="AA25">INDEX($A:$FF,3,AA$22+2)</f>
        <v>2.33</v>
      </c>
      <c r="AB25" cm="1">
        <f t="array" ref="AB25">INDEX($A:$FF,3,AB$22+2)</f>
        <v>3.33</v>
      </c>
      <c r="AC25" cm="1">
        <f t="array" ref="AC25">INDEX($A:$FF,3,AC$22+2)</f>
        <v>3.67</v>
      </c>
      <c r="AD25" cm="1">
        <f t="array" ref="AD25">INDEX($A:$FF,3,AD$22+2)</f>
        <v>4</v>
      </c>
      <c r="AE25" cm="1">
        <f t="array" ref="AE25">INDEX($A:$FF,3,AE$22+2)</f>
        <v>4</v>
      </c>
      <c r="AF25" cm="1">
        <f t="array" ref="AF25">INDEX($A:$FF,3,AF$22+2)</f>
        <v>3.33</v>
      </c>
    </row>
    <row r="26" spans="1:32" x14ac:dyDescent="0.4">
      <c r="E26" s="11" t="s">
        <v>143</v>
      </c>
      <c r="F26" s="11"/>
      <c r="G26" s="11"/>
      <c r="H26" cm="1">
        <f t="array" ref="H26">INDEX($A:$FF,3,H$22+3)</f>
        <v>2.67</v>
      </c>
      <c r="I26" cm="1">
        <f t="array" ref="I26">INDEX($A:$FF,3,I$22+3)</f>
        <v>4</v>
      </c>
      <c r="J26" cm="1">
        <f t="array" ref="J26">INDEX($A:$FF,3,J$22+3)</f>
        <v>3.67</v>
      </c>
      <c r="K26" cm="1">
        <f t="array" ref="K26">INDEX($A:$FF,3,K$22+3)</f>
        <v>4</v>
      </c>
      <c r="L26" cm="1">
        <f t="array" ref="L26">INDEX($A:$FF,3,L$22+3)</f>
        <v>3</v>
      </c>
      <c r="M26" cm="1">
        <f t="array" ref="M26">INDEX($A:$FF,3,M$22+3)</f>
        <v>3.67</v>
      </c>
      <c r="N26" cm="1">
        <f t="array" ref="N26">INDEX($A:$FF,3,N$22+3)</f>
        <v>3.67</v>
      </c>
      <c r="O26" cm="1">
        <f t="array" ref="O26">INDEX($A:$FF,3,O$22+3)</f>
        <v>4.33</v>
      </c>
      <c r="P26" cm="1">
        <f t="array" ref="P26">INDEX($A:$FF,3,P$22+3)</f>
        <v>3</v>
      </c>
      <c r="Q26" cm="1">
        <f t="array" ref="Q26">INDEX($A:$FF,3,Q$22+3)</f>
        <v>4.33</v>
      </c>
      <c r="R26" cm="1">
        <f t="array" ref="R26">INDEX($A:$FF,3,R$22+3)</f>
        <v>4.33</v>
      </c>
      <c r="S26" cm="1">
        <f t="array" ref="S26">INDEX($A:$FF,3,S$22+3)</f>
        <v>4</v>
      </c>
      <c r="T26" cm="1">
        <f t="array" ref="T26">INDEX($A:$FF,3,T$22+3)</f>
        <v>4</v>
      </c>
      <c r="U26" cm="1">
        <f t="array" ref="U26">INDEX($A:$FF,3,U$22+3)</f>
        <v>2.67</v>
      </c>
      <c r="V26" cm="1">
        <f t="array" ref="V26">INDEX($A:$FF,3,V$22+3)</f>
        <v>4.67</v>
      </c>
      <c r="W26" cm="1">
        <f t="array" ref="W26">INDEX($A:$FF,3,W$22+3)</f>
        <v>3.33</v>
      </c>
      <c r="X26" cm="1">
        <f t="array" ref="X26">INDEX($A:$FF,3,X$22+3)</f>
        <v>3.67</v>
      </c>
      <c r="Y26" cm="1">
        <f t="array" ref="Y26">INDEX($A:$FF,3,Y$22+3)</f>
        <v>4</v>
      </c>
      <c r="Z26" cm="1">
        <f t="array" ref="Z26">INDEX($A:$FF,3,Z$22+3)</f>
        <v>2.67</v>
      </c>
      <c r="AA26" cm="1">
        <f t="array" ref="AA26">INDEX($A:$FF,3,AA$22+3)</f>
        <v>2.67</v>
      </c>
      <c r="AB26" cm="1">
        <f t="array" ref="AB26">INDEX($A:$FF,3,AB$22+3)</f>
        <v>4</v>
      </c>
      <c r="AC26" cm="1">
        <f t="array" ref="AC26">INDEX($A:$FF,3,AC$22+3)</f>
        <v>3.33</v>
      </c>
      <c r="AD26" cm="1">
        <f t="array" ref="AD26">INDEX($A:$FF,3,AD$22+3)</f>
        <v>4</v>
      </c>
      <c r="AE26" cm="1">
        <f t="array" ref="AE26">INDEX($A:$FF,3,AE$22+3)</f>
        <v>4</v>
      </c>
      <c r="AF26" cm="1">
        <f t="array" ref="AF26">INDEX($A:$FF,3,AF$22+3)</f>
        <v>3.67</v>
      </c>
    </row>
    <row r="27" spans="1:32" s="4" customFormat="1" x14ac:dyDescent="0.4">
      <c r="E27" s="12" t="s">
        <v>147</v>
      </c>
      <c r="F27" s="12"/>
      <c r="G27" s="12"/>
      <c r="H27" s="7">
        <f>AVERAGE(H23:H26)</f>
        <v>3.085</v>
      </c>
      <c r="I27" s="7">
        <f t="shared" ref="I27:AF27" si="27">AVERAGE(I23:I26)</f>
        <v>4</v>
      </c>
      <c r="J27" s="7">
        <f t="shared" si="27"/>
        <v>3.75</v>
      </c>
      <c r="K27" s="7">
        <f t="shared" si="27"/>
        <v>3.9175</v>
      </c>
      <c r="L27" s="7">
        <f t="shared" si="27"/>
        <v>2.75</v>
      </c>
      <c r="M27" s="7">
        <f t="shared" si="27"/>
        <v>3.7524999999999999</v>
      </c>
      <c r="N27" s="7">
        <f t="shared" si="27"/>
        <v>3.9175</v>
      </c>
      <c r="O27" s="7">
        <f t="shared" si="27"/>
        <v>4</v>
      </c>
      <c r="P27" s="7">
        <f t="shared" si="27"/>
        <v>3.0825</v>
      </c>
      <c r="Q27" s="7">
        <f t="shared" si="27"/>
        <v>4</v>
      </c>
      <c r="R27" s="7">
        <f t="shared" si="27"/>
        <v>4.3324999999999996</v>
      </c>
      <c r="S27" s="7">
        <f t="shared" si="27"/>
        <v>3.9175</v>
      </c>
      <c r="T27" s="7">
        <f t="shared" si="27"/>
        <v>4</v>
      </c>
      <c r="U27" s="7">
        <f t="shared" si="27"/>
        <v>2.835</v>
      </c>
      <c r="V27" s="7">
        <f t="shared" si="27"/>
        <v>4.0824999999999996</v>
      </c>
      <c r="W27" s="7">
        <f t="shared" si="27"/>
        <v>3.0825</v>
      </c>
      <c r="X27" s="7">
        <f t="shared" si="27"/>
        <v>3.6675</v>
      </c>
      <c r="Y27" s="7">
        <f t="shared" si="27"/>
        <v>3.9175</v>
      </c>
      <c r="Z27" s="7">
        <f t="shared" si="27"/>
        <v>2.5</v>
      </c>
      <c r="AA27" s="7">
        <f t="shared" si="27"/>
        <v>2.5</v>
      </c>
      <c r="AB27" s="7">
        <f t="shared" si="27"/>
        <v>3.5825</v>
      </c>
      <c r="AC27" s="7">
        <f t="shared" si="27"/>
        <v>3.1675</v>
      </c>
      <c r="AD27" s="7">
        <f t="shared" si="27"/>
        <v>3.75</v>
      </c>
      <c r="AE27" s="7">
        <f t="shared" si="27"/>
        <v>4</v>
      </c>
      <c r="AF27" s="7">
        <f t="shared" si="27"/>
        <v>3.585</v>
      </c>
    </row>
    <row r="28" spans="1:32" x14ac:dyDescent="0.4">
      <c r="H28">
        <v>1</v>
      </c>
      <c r="I28">
        <v>2</v>
      </c>
      <c r="J28">
        <v>3</v>
      </c>
      <c r="K28">
        <v>4</v>
      </c>
      <c r="L28">
        <v>5</v>
      </c>
      <c r="M28">
        <v>6</v>
      </c>
      <c r="N28">
        <v>7</v>
      </c>
      <c r="O28">
        <v>8</v>
      </c>
      <c r="P28">
        <v>9</v>
      </c>
      <c r="Q28">
        <v>10</v>
      </c>
      <c r="R28">
        <v>11</v>
      </c>
      <c r="S28">
        <v>12</v>
      </c>
      <c r="T28">
        <v>13</v>
      </c>
      <c r="U28">
        <v>14</v>
      </c>
      <c r="V28">
        <v>15</v>
      </c>
      <c r="W28">
        <v>16</v>
      </c>
      <c r="X28">
        <v>17</v>
      </c>
      <c r="Y28">
        <v>18</v>
      </c>
      <c r="Z28">
        <v>19</v>
      </c>
      <c r="AA28">
        <v>20</v>
      </c>
      <c r="AB28">
        <v>21</v>
      </c>
      <c r="AC28">
        <v>22</v>
      </c>
      <c r="AD28">
        <v>23</v>
      </c>
      <c r="AE28">
        <v>24</v>
      </c>
      <c r="AF28">
        <v>25</v>
      </c>
    </row>
    <row r="31" spans="1:32" ht="39.299999999999997" customHeight="1" x14ac:dyDescent="0.4">
      <c r="H31" s="8" t="str">
        <f>E23</f>
        <v xml:space="preserve"> Claridad técnica</v>
      </c>
      <c r="I31" s="8" t="str">
        <f>E24</f>
        <v>Nivel de dificultad adecuado</v>
      </c>
      <c r="J31" s="8" t="str">
        <f>E25</f>
        <v>Calidad de los distractores</v>
      </c>
      <c r="K31" s="8" t="str">
        <f>E26</f>
        <v>Validez pedagógica</v>
      </c>
      <c r="L31" s="8" t="s">
        <v>173</v>
      </c>
    </row>
    <row r="32" spans="1:32" x14ac:dyDescent="0.4">
      <c r="G32" t="s">
        <v>148</v>
      </c>
      <c r="H32" cm="1">
        <f t="array" ref="H32:H56">TRANSPOSE(H23:AF23)</f>
        <v>3.67</v>
      </c>
      <c r="I32" cm="1">
        <f t="array" ref="I32:I56">TRANSPOSE(H24:AF24)</f>
        <v>2.67</v>
      </c>
      <c r="J32" cm="1">
        <f t="array" ref="J32:J56">TRANSPOSE(H25:AF25)</f>
        <v>3.33</v>
      </c>
      <c r="K32" cm="1">
        <f t="array" ref="K32:K56">TRANSPOSE(H26:AF26)</f>
        <v>2.67</v>
      </c>
      <c r="L32" cm="1">
        <f t="array" ref="L32:L56">TRANSPOSE(H27:AF27)</f>
        <v>3.085</v>
      </c>
    </row>
    <row r="33" spans="7:12" x14ac:dyDescent="0.4">
      <c r="G33" t="s">
        <v>149</v>
      </c>
      <c r="H33">
        <v>3.67</v>
      </c>
      <c r="I33">
        <v>4.33</v>
      </c>
      <c r="J33">
        <v>4</v>
      </c>
      <c r="K33">
        <v>4</v>
      </c>
      <c r="L33">
        <v>4</v>
      </c>
    </row>
    <row r="34" spans="7:12" x14ac:dyDescent="0.4">
      <c r="G34" t="s">
        <v>150</v>
      </c>
      <c r="H34">
        <v>4</v>
      </c>
      <c r="I34">
        <v>4.33</v>
      </c>
      <c r="J34">
        <v>3</v>
      </c>
      <c r="K34">
        <v>3.67</v>
      </c>
      <c r="L34">
        <v>3.75</v>
      </c>
    </row>
    <row r="35" spans="7:12" x14ac:dyDescent="0.4">
      <c r="G35" t="s">
        <v>151</v>
      </c>
      <c r="H35">
        <v>4</v>
      </c>
      <c r="I35">
        <v>3.67</v>
      </c>
      <c r="J35">
        <v>4</v>
      </c>
      <c r="K35">
        <v>4</v>
      </c>
      <c r="L35">
        <v>3.9175</v>
      </c>
    </row>
    <row r="36" spans="7:12" x14ac:dyDescent="0.4">
      <c r="G36" t="s">
        <v>152</v>
      </c>
      <c r="H36">
        <v>3</v>
      </c>
      <c r="I36">
        <v>2</v>
      </c>
      <c r="J36">
        <v>3</v>
      </c>
      <c r="K36">
        <v>3</v>
      </c>
      <c r="L36">
        <v>2.75</v>
      </c>
    </row>
    <row r="37" spans="7:12" x14ac:dyDescent="0.4">
      <c r="G37" t="s">
        <v>153</v>
      </c>
      <c r="H37">
        <v>3.67</v>
      </c>
      <c r="I37">
        <v>3.67</v>
      </c>
      <c r="J37">
        <v>4</v>
      </c>
      <c r="K37">
        <v>3.67</v>
      </c>
      <c r="L37">
        <v>3.7524999999999999</v>
      </c>
    </row>
    <row r="38" spans="7:12" x14ac:dyDescent="0.4">
      <c r="G38" t="s">
        <v>154</v>
      </c>
      <c r="H38">
        <v>4</v>
      </c>
      <c r="I38">
        <v>4</v>
      </c>
      <c r="J38">
        <v>4</v>
      </c>
      <c r="K38">
        <v>3.67</v>
      </c>
      <c r="L38">
        <v>3.9175</v>
      </c>
    </row>
    <row r="39" spans="7:12" x14ac:dyDescent="0.4">
      <c r="G39" t="s">
        <v>155</v>
      </c>
      <c r="H39">
        <v>4</v>
      </c>
      <c r="I39">
        <v>4</v>
      </c>
      <c r="J39">
        <v>3.67</v>
      </c>
      <c r="K39">
        <v>4.33</v>
      </c>
      <c r="L39">
        <v>4</v>
      </c>
    </row>
    <row r="40" spans="7:12" x14ac:dyDescent="0.4">
      <c r="G40" t="s">
        <v>156</v>
      </c>
      <c r="H40">
        <v>3.33</v>
      </c>
      <c r="I40">
        <v>2.67</v>
      </c>
      <c r="J40">
        <v>3.33</v>
      </c>
      <c r="K40">
        <v>3</v>
      </c>
      <c r="L40">
        <v>3.0825</v>
      </c>
    </row>
    <row r="41" spans="7:12" x14ac:dyDescent="0.4">
      <c r="G41" t="s">
        <v>157</v>
      </c>
      <c r="H41">
        <v>4</v>
      </c>
      <c r="I41">
        <v>3.67</v>
      </c>
      <c r="J41">
        <v>4</v>
      </c>
      <c r="K41">
        <v>4.33</v>
      </c>
      <c r="L41">
        <v>4</v>
      </c>
    </row>
    <row r="42" spans="7:12" x14ac:dyDescent="0.4">
      <c r="G42" t="s">
        <v>158</v>
      </c>
      <c r="H42">
        <v>4.33</v>
      </c>
      <c r="I42">
        <v>4.67</v>
      </c>
      <c r="J42">
        <v>4</v>
      </c>
      <c r="K42">
        <v>4.33</v>
      </c>
      <c r="L42">
        <v>4.3324999999999996</v>
      </c>
    </row>
    <row r="43" spans="7:12" x14ac:dyDescent="0.4">
      <c r="G43" t="s">
        <v>159</v>
      </c>
      <c r="H43">
        <v>4</v>
      </c>
      <c r="I43">
        <v>3.67</v>
      </c>
      <c r="J43">
        <v>4</v>
      </c>
      <c r="K43">
        <v>4</v>
      </c>
      <c r="L43">
        <v>3.9175</v>
      </c>
    </row>
    <row r="44" spans="7:12" x14ac:dyDescent="0.4">
      <c r="G44" t="s">
        <v>160</v>
      </c>
      <c r="H44">
        <v>4.33</v>
      </c>
      <c r="I44">
        <v>3.67</v>
      </c>
      <c r="J44">
        <v>4</v>
      </c>
      <c r="K44">
        <v>4</v>
      </c>
      <c r="L44">
        <v>4</v>
      </c>
    </row>
    <row r="45" spans="7:12" x14ac:dyDescent="0.4">
      <c r="G45" t="s">
        <v>161</v>
      </c>
      <c r="H45">
        <v>3</v>
      </c>
      <c r="I45">
        <v>2.67</v>
      </c>
      <c r="J45">
        <v>3</v>
      </c>
      <c r="K45">
        <v>2.67</v>
      </c>
      <c r="L45">
        <v>2.835</v>
      </c>
    </row>
    <row r="46" spans="7:12" x14ac:dyDescent="0.4">
      <c r="G46" t="s">
        <v>162</v>
      </c>
      <c r="H46">
        <v>4</v>
      </c>
      <c r="I46">
        <v>4.33</v>
      </c>
      <c r="J46">
        <v>3.33</v>
      </c>
      <c r="K46">
        <v>4.67</v>
      </c>
      <c r="L46">
        <v>4.0824999999999996</v>
      </c>
    </row>
    <row r="47" spans="7:12" x14ac:dyDescent="0.4">
      <c r="G47" t="s">
        <v>163</v>
      </c>
      <c r="H47">
        <v>3</v>
      </c>
      <c r="I47">
        <v>2.67</v>
      </c>
      <c r="J47">
        <v>3.33</v>
      </c>
      <c r="K47">
        <v>3.33</v>
      </c>
      <c r="L47">
        <v>3.0825</v>
      </c>
    </row>
    <row r="48" spans="7:12" x14ac:dyDescent="0.4">
      <c r="G48" t="s">
        <v>164</v>
      </c>
      <c r="H48">
        <v>4</v>
      </c>
      <c r="I48">
        <v>3.33</v>
      </c>
      <c r="J48">
        <v>3.67</v>
      </c>
      <c r="K48">
        <v>3.67</v>
      </c>
      <c r="L48">
        <v>3.6675</v>
      </c>
    </row>
    <row r="49" spans="7:12" x14ac:dyDescent="0.4">
      <c r="G49" t="s">
        <v>165</v>
      </c>
      <c r="H49">
        <v>4</v>
      </c>
      <c r="I49">
        <v>4</v>
      </c>
      <c r="J49">
        <v>3.67</v>
      </c>
      <c r="K49">
        <v>4</v>
      </c>
      <c r="L49">
        <v>3.9175</v>
      </c>
    </row>
    <row r="50" spans="7:12" x14ac:dyDescent="0.4">
      <c r="G50" t="s">
        <v>166</v>
      </c>
      <c r="H50">
        <v>2.33</v>
      </c>
      <c r="I50">
        <v>2.33</v>
      </c>
      <c r="J50">
        <v>2.67</v>
      </c>
      <c r="K50">
        <v>2.67</v>
      </c>
      <c r="L50">
        <v>2.5</v>
      </c>
    </row>
    <row r="51" spans="7:12" x14ac:dyDescent="0.4">
      <c r="G51" t="s">
        <v>167</v>
      </c>
      <c r="H51">
        <v>2.67</v>
      </c>
      <c r="I51">
        <v>2.33</v>
      </c>
      <c r="J51">
        <v>2.33</v>
      </c>
      <c r="K51">
        <v>2.67</v>
      </c>
      <c r="L51">
        <v>2.5</v>
      </c>
    </row>
    <row r="52" spans="7:12" x14ac:dyDescent="0.4">
      <c r="G52" t="s">
        <v>168</v>
      </c>
      <c r="H52">
        <v>3.33</v>
      </c>
      <c r="I52">
        <v>3.67</v>
      </c>
      <c r="J52">
        <v>3.33</v>
      </c>
      <c r="K52">
        <v>4</v>
      </c>
      <c r="L52">
        <v>3.5825</v>
      </c>
    </row>
    <row r="53" spans="7:12" x14ac:dyDescent="0.4">
      <c r="G53" t="s">
        <v>169</v>
      </c>
      <c r="H53">
        <v>3</v>
      </c>
      <c r="I53">
        <v>2.67</v>
      </c>
      <c r="J53">
        <v>3.67</v>
      </c>
      <c r="K53">
        <v>3.33</v>
      </c>
      <c r="L53">
        <v>3.1675</v>
      </c>
    </row>
    <row r="54" spans="7:12" x14ac:dyDescent="0.4">
      <c r="G54" t="s">
        <v>170</v>
      </c>
      <c r="H54">
        <v>3.67</v>
      </c>
      <c r="I54">
        <v>3.33</v>
      </c>
      <c r="J54">
        <v>4</v>
      </c>
      <c r="K54">
        <v>4</v>
      </c>
      <c r="L54">
        <v>3.75</v>
      </c>
    </row>
    <row r="55" spans="7:12" x14ac:dyDescent="0.4">
      <c r="G55" t="s">
        <v>171</v>
      </c>
      <c r="H55">
        <v>4</v>
      </c>
      <c r="I55">
        <v>4</v>
      </c>
      <c r="J55">
        <v>4</v>
      </c>
      <c r="K55">
        <v>4</v>
      </c>
      <c r="L55">
        <v>4</v>
      </c>
    </row>
    <row r="56" spans="7:12" x14ac:dyDescent="0.4">
      <c r="G56" t="s">
        <v>172</v>
      </c>
      <c r="H56">
        <v>3.67</v>
      </c>
      <c r="I56">
        <v>3.67</v>
      </c>
      <c r="J56">
        <v>3.33</v>
      </c>
      <c r="K56">
        <v>3.67</v>
      </c>
      <c r="L56">
        <v>3.585</v>
      </c>
    </row>
    <row r="57" spans="7:12" x14ac:dyDescent="0.4">
      <c r="G57" t="s">
        <v>173</v>
      </c>
      <c r="H57">
        <f t="shared" ref="H57:K57" si="28">AVERAGE(_xlfn.ANCHORARRAY(H32))</f>
        <v>3.6268000000000002</v>
      </c>
      <c r="I57">
        <f t="shared" si="28"/>
        <v>3.4408000000000003</v>
      </c>
      <c r="J57">
        <f t="shared" si="28"/>
        <v>3.5463999999999998</v>
      </c>
      <c r="K57">
        <f t="shared" si="28"/>
        <v>3.6539999999999999</v>
      </c>
      <c r="L57">
        <f>AVERAGE(_xlfn.ANCHORARRAY(L32))</f>
        <v>3.5669999999999997</v>
      </c>
    </row>
  </sheetData>
  <mergeCells count="55">
    <mergeCell ref="AA1:AD1"/>
    <mergeCell ref="G1:J1"/>
    <mergeCell ref="K1:N1"/>
    <mergeCell ref="O1:R1"/>
    <mergeCell ref="S1:V1"/>
    <mergeCell ref="W1:Z1"/>
    <mergeCell ref="BW1:BZ1"/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CY1:DB1"/>
    <mergeCell ref="G2:J2"/>
    <mergeCell ref="K2:N2"/>
    <mergeCell ref="O2:R2"/>
    <mergeCell ref="S2:V2"/>
    <mergeCell ref="W2:Z2"/>
    <mergeCell ref="AA2:AD2"/>
    <mergeCell ref="AE2:AH2"/>
    <mergeCell ref="AI2:AL2"/>
    <mergeCell ref="AM2:AP2"/>
    <mergeCell ref="CA1:CD1"/>
    <mergeCell ref="CE1:CH1"/>
    <mergeCell ref="CI1:CL1"/>
    <mergeCell ref="CM1:CP1"/>
    <mergeCell ref="CQ1:CT1"/>
    <mergeCell ref="CU1:CX1"/>
    <mergeCell ref="CU2:CX2"/>
    <mergeCell ref="CY2:DB2"/>
    <mergeCell ref="E23:G23"/>
    <mergeCell ref="E24:G24"/>
    <mergeCell ref="BO2:BR2"/>
    <mergeCell ref="BS2:BV2"/>
    <mergeCell ref="BW2:BZ2"/>
    <mergeCell ref="CA2:CD2"/>
    <mergeCell ref="CE2:CH2"/>
    <mergeCell ref="CI2:CL2"/>
    <mergeCell ref="AQ2:AT2"/>
    <mergeCell ref="AU2:AX2"/>
    <mergeCell ref="AY2:BB2"/>
    <mergeCell ref="BC2:BF2"/>
    <mergeCell ref="BG2:BJ2"/>
    <mergeCell ref="BK2:BN2"/>
    <mergeCell ref="E25:G25"/>
    <mergeCell ref="E26:G26"/>
    <mergeCell ref="E27:G27"/>
    <mergeCell ref="CM2:CP2"/>
    <mergeCell ref="CQ2:CT2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6DEECF-E0CD-414E-A755-D87CA502E9FB}">
  <dimension ref="A1:DE57"/>
  <sheetViews>
    <sheetView topLeftCell="A20" workbookViewId="0">
      <selection activeCell="S51" sqref="S51"/>
    </sheetView>
  </sheetViews>
  <sheetFormatPr baseColWidth="10" defaultRowHeight="12.3" x14ac:dyDescent="0.4"/>
  <cols>
    <col min="2" max="2" width="56.609375" customWidth="1"/>
    <col min="3" max="3" width="23.5546875" customWidth="1"/>
    <col min="4" max="4" width="20.94140625" customWidth="1"/>
    <col min="8" max="8" width="11.88671875" bestFit="1" customWidth="1"/>
    <col min="10" max="10" width="10.44140625" customWidth="1"/>
  </cols>
  <sheetData>
    <row r="1" spans="1:109" ht="15.75" customHeight="1" x14ac:dyDescent="0.4">
      <c r="G1" s="13" t="s">
        <v>117</v>
      </c>
      <c r="H1" s="13"/>
      <c r="I1" s="13"/>
      <c r="J1" s="13"/>
      <c r="K1" s="13" t="s">
        <v>118</v>
      </c>
      <c r="L1" s="13"/>
      <c r="M1" s="13"/>
      <c r="N1" s="13"/>
      <c r="O1" s="13" t="s">
        <v>119</v>
      </c>
      <c r="P1" s="13"/>
      <c r="Q1" s="13"/>
      <c r="R1" s="13"/>
      <c r="S1" s="13" t="s">
        <v>120</v>
      </c>
      <c r="T1" s="13"/>
      <c r="U1" s="13"/>
      <c r="V1" s="13"/>
      <c r="W1" s="13" t="s">
        <v>121</v>
      </c>
      <c r="X1" s="13"/>
      <c r="Y1" s="13"/>
      <c r="Z1" s="13"/>
      <c r="AA1" s="13" t="s">
        <v>122</v>
      </c>
      <c r="AB1" s="13"/>
      <c r="AC1" s="13"/>
      <c r="AD1" s="13"/>
      <c r="AE1" s="13" t="s">
        <v>123</v>
      </c>
      <c r="AF1" s="13"/>
      <c r="AG1" s="13"/>
      <c r="AH1" s="13"/>
      <c r="AI1" s="13" t="s">
        <v>124</v>
      </c>
      <c r="AJ1" s="13"/>
      <c r="AK1" s="13"/>
      <c r="AL1" s="13"/>
      <c r="AM1" s="13" t="s">
        <v>125</v>
      </c>
      <c r="AN1" s="13"/>
      <c r="AO1" s="13"/>
      <c r="AP1" s="13"/>
      <c r="AQ1" s="13" t="s">
        <v>126</v>
      </c>
      <c r="AR1" s="13"/>
      <c r="AS1" s="13"/>
      <c r="AT1" s="13"/>
      <c r="AU1" s="13" t="s">
        <v>127</v>
      </c>
      <c r="AV1" s="13"/>
      <c r="AW1" s="13"/>
      <c r="AX1" s="13"/>
      <c r="AY1" s="13" t="s">
        <v>128</v>
      </c>
      <c r="AZ1" s="13"/>
      <c r="BA1" s="13"/>
      <c r="BB1" s="13"/>
      <c r="BC1" s="13" t="s">
        <v>129</v>
      </c>
      <c r="BD1" s="13"/>
      <c r="BE1" s="13"/>
      <c r="BF1" s="13"/>
      <c r="BG1" s="13" t="s">
        <v>130</v>
      </c>
      <c r="BH1" s="13"/>
      <c r="BI1" s="13"/>
      <c r="BJ1" s="13"/>
      <c r="BK1" s="13" t="s">
        <v>131</v>
      </c>
      <c r="BL1" s="13"/>
      <c r="BM1" s="13"/>
      <c r="BN1" s="13"/>
      <c r="BO1" s="13" t="s">
        <v>132</v>
      </c>
      <c r="BP1" s="13"/>
      <c r="BQ1" s="13"/>
      <c r="BR1" s="13"/>
      <c r="BS1" s="13" t="s">
        <v>133</v>
      </c>
      <c r="BT1" s="13"/>
      <c r="BU1" s="13"/>
      <c r="BV1" s="13"/>
      <c r="BW1" s="13" t="s">
        <v>134</v>
      </c>
      <c r="BX1" s="13"/>
      <c r="BY1" s="13"/>
      <c r="BZ1" s="13"/>
      <c r="CA1" s="13" t="s">
        <v>135</v>
      </c>
      <c r="CB1" s="13"/>
      <c r="CC1" s="13"/>
      <c r="CD1" s="13"/>
      <c r="CE1" s="13" t="s">
        <v>136</v>
      </c>
      <c r="CF1" s="13"/>
      <c r="CG1" s="13"/>
      <c r="CH1" s="13"/>
      <c r="CI1" s="13" t="s">
        <v>137</v>
      </c>
      <c r="CJ1" s="13"/>
      <c r="CK1" s="13"/>
      <c r="CL1" s="13"/>
      <c r="CM1" s="13" t="s">
        <v>138</v>
      </c>
      <c r="CN1" s="13"/>
      <c r="CO1" s="13"/>
      <c r="CP1" s="13"/>
      <c r="CQ1" s="13" t="s">
        <v>139</v>
      </c>
      <c r="CR1" s="13"/>
      <c r="CS1" s="13"/>
      <c r="CT1" s="13"/>
      <c r="CU1" s="13" t="s">
        <v>140</v>
      </c>
      <c r="CV1" s="13"/>
      <c r="CW1" s="13"/>
      <c r="CX1" s="13"/>
      <c r="CY1" s="13" t="s">
        <v>141</v>
      </c>
      <c r="CZ1" s="13"/>
      <c r="DA1" s="13"/>
      <c r="DB1" s="13"/>
    </row>
    <row r="2" spans="1:109" ht="15.75" customHeight="1" x14ac:dyDescent="0.4">
      <c r="F2" s="4">
        <f>ROUND(AVERAGE(G3:DB3),2)</f>
        <v>4.3600000000000003</v>
      </c>
      <c r="G2" s="13">
        <f>ROUND(AVERAGE(G3:J3),2)</f>
        <v>3.5</v>
      </c>
      <c r="H2" s="13"/>
      <c r="I2" s="13"/>
      <c r="J2" s="13"/>
      <c r="K2" s="13">
        <f t="shared" ref="K2" si="0">ROUND(AVERAGE(K3:N3),2)</f>
        <v>4.42</v>
      </c>
      <c r="L2" s="13"/>
      <c r="M2" s="13"/>
      <c r="N2" s="13"/>
      <c r="O2" s="13">
        <f t="shared" ref="O2" si="1">ROUND(AVERAGE(O3:R3),2)</f>
        <v>4.67</v>
      </c>
      <c r="P2" s="13"/>
      <c r="Q2" s="13"/>
      <c r="R2" s="13"/>
      <c r="S2" s="13">
        <f t="shared" ref="S2" si="2">ROUND(AVERAGE(S3:V3),2)</f>
        <v>4.67</v>
      </c>
      <c r="T2" s="13"/>
      <c r="U2" s="13"/>
      <c r="V2" s="13"/>
      <c r="W2" s="13">
        <f t="shared" ref="W2" si="3">ROUND(AVERAGE(W3:Z3),2)</f>
        <v>4</v>
      </c>
      <c r="X2" s="13"/>
      <c r="Y2" s="13"/>
      <c r="Z2" s="13"/>
      <c r="AA2" s="13">
        <f t="shared" ref="AA2" si="4">ROUND(AVERAGE(AA3:AD3),2)</f>
        <v>4.33</v>
      </c>
      <c r="AB2" s="13"/>
      <c r="AC2" s="13"/>
      <c r="AD2" s="13"/>
      <c r="AE2" s="13">
        <f t="shared" ref="AE2" si="5">ROUND(AVERAGE(AE3:AH3),2)</f>
        <v>4.25</v>
      </c>
      <c r="AF2" s="13"/>
      <c r="AG2" s="13"/>
      <c r="AH2" s="13"/>
      <c r="AI2" s="13">
        <f t="shared" ref="AI2" si="6">ROUND(AVERAGE(AI3:AL3),2)</f>
        <v>4.25</v>
      </c>
      <c r="AJ2" s="13"/>
      <c r="AK2" s="13"/>
      <c r="AL2" s="13"/>
      <c r="AM2" s="13">
        <f t="shared" ref="AM2" si="7">ROUND(AVERAGE(AM3:AP3),2)</f>
        <v>4.33</v>
      </c>
      <c r="AN2" s="13"/>
      <c r="AO2" s="13"/>
      <c r="AP2" s="13"/>
      <c r="AQ2" s="13">
        <f t="shared" ref="AQ2" si="8">ROUND(AVERAGE(AQ3:AT3),2)</f>
        <v>4.59</v>
      </c>
      <c r="AR2" s="13"/>
      <c r="AS2" s="13"/>
      <c r="AT2" s="13"/>
      <c r="AU2" s="13">
        <f t="shared" ref="AU2" si="9">ROUND(AVERAGE(AU3:AX3),2)</f>
        <v>4.67</v>
      </c>
      <c r="AV2" s="13"/>
      <c r="AW2" s="13"/>
      <c r="AX2" s="13"/>
      <c r="AY2" s="13">
        <f t="shared" ref="AY2" si="10">ROUND(AVERAGE(AY3:BB3),2)</f>
        <v>4.67</v>
      </c>
      <c r="AZ2" s="13"/>
      <c r="BA2" s="13"/>
      <c r="BB2" s="13"/>
      <c r="BC2" s="13">
        <f t="shared" ref="BC2" si="11">ROUND(AVERAGE(BC3:BF3),2)</f>
        <v>4.17</v>
      </c>
      <c r="BD2" s="13"/>
      <c r="BE2" s="13"/>
      <c r="BF2" s="13"/>
      <c r="BG2" s="13">
        <f t="shared" ref="BG2" si="12">ROUND(AVERAGE(BG3:BJ3),2)</f>
        <v>4.67</v>
      </c>
      <c r="BH2" s="13"/>
      <c r="BI2" s="13"/>
      <c r="BJ2" s="13"/>
      <c r="BK2" s="13">
        <f t="shared" ref="BK2" si="13">ROUND(AVERAGE(BK3:BN3),2)</f>
        <v>4.42</v>
      </c>
      <c r="BL2" s="13"/>
      <c r="BM2" s="13"/>
      <c r="BN2" s="13"/>
      <c r="BO2" s="13">
        <f t="shared" ref="BO2" si="14">ROUND(AVERAGE(BO3:BR3),2)</f>
        <v>4.17</v>
      </c>
      <c r="BP2" s="13"/>
      <c r="BQ2" s="13"/>
      <c r="BR2" s="13"/>
      <c r="BS2" s="13">
        <f t="shared" ref="BS2" si="15">ROUND(AVERAGE(BS3:BV3),2)</f>
        <v>4.59</v>
      </c>
      <c r="BT2" s="13"/>
      <c r="BU2" s="13"/>
      <c r="BV2" s="13"/>
      <c r="BW2" s="13">
        <f t="shared" ref="BW2" si="16">ROUND(AVERAGE(BW3:BZ3),2)</f>
        <v>4.17</v>
      </c>
      <c r="BX2" s="13"/>
      <c r="BY2" s="13"/>
      <c r="BZ2" s="13"/>
      <c r="CA2" s="13">
        <f t="shared" ref="CA2" si="17">ROUND(AVERAGE(CA3:CD3),2)</f>
        <v>4.5</v>
      </c>
      <c r="CB2" s="13"/>
      <c r="CC2" s="13"/>
      <c r="CD2" s="13"/>
      <c r="CE2" s="13">
        <f t="shared" ref="CE2" si="18">ROUND(AVERAGE(CE3:CH3),2)</f>
        <v>4.5</v>
      </c>
      <c r="CF2" s="13"/>
      <c r="CG2" s="13"/>
      <c r="CH2" s="13"/>
      <c r="CI2" s="13">
        <f t="shared" ref="CI2" si="19">ROUND(AVERAGE(CI3:CL3),2)</f>
        <v>3.67</v>
      </c>
      <c r="CJ2" s="13"/>
      <c r="CK2" s="13"/>
      <c r="CL2" s="13"/>
      <c r="CM2" s="13">
        <f t="shared" ref="CM2" si="20">ROUND(AVERAGE(CM3:CP3),2)</f>
        <v>4</v>
      </c>
      <c r="CN2" s="13"/>
      <c r="CO2" s="13"/>
      <c r="CP2" s="13"/>
      <c r="CQ2" s="13">
        <f t="shared" ref="CQ2" si="21">ROUND(AVERAGE(CQ3:CT3),2)</f>
        <v>4.59</v>
      </c>
      <c r="CR2" s="13"/>
      <c r="CS2" s="13"/>
      <c r="CT2" s="13"/>
      <c r="CU2" s="13">
        <f t="shared" ref="CU2" si="22">ROUND(AVERAGE(CU3:CX3),2)</f>
        <v>4.59</v>
      </c>
      <c r="CV2" s="13"/>
      <c r="CW2" s="13"/>
      <c r="CX2" s="13"/>
      <c r="CY2" s="13">
        <f t="shared" ref="CY2" si="23">ROUND(AVERAGE(CY3:DB3),2)</f>
        <v>4.67</v>
      </c>
      <c r="CZ2" s="13"/>
      <c r="DA2" s="13"/>
      <c r="DB2" s="13"/>
    </row>
    <row r="3" spans="1:109" ht="15.75" customHeight="1" x14ac:dyDescent="0.4">
      <c r="C3">
        <f>ROUND(AVERAGE(C5:C51),2)</f>
        <v>4.67</v>
      </c>
      <c r="D3">
        <f>ROUND(AVERAGE(D5:D51),2)</f>
        <v>4.33</v>
      </c>
      <c r="G3">
        <f>ROUND(AVERAGE(G5:G20),2)</f>
        <v>3.67</v>
      </c>
      <c r="H3">
        <f>ROUND(AVERAGE(H5:H20),2)</f>
        <v>2.67</v>
      </c>
      <c r="I3">
        <f t="shared" ref="I3:BT3" si="24">ROUND(AVERAGE(I5:I20),2)</f>
        <v>4</v>
      </c>
      <c r="J3">
        <f t="shared" si="24"/>
        <v>3.67</v>
      </c>
      <c r="K3">
        <f t="shared" si="24"/>
        <v>4.67</v>
      </c>
      <c r="L3">
        <f t="shared" si="24"/>
        <v>4.67</v>
      </c>
      <c r="M3">
        <f t="shared" si="24"/>
        <v>4</v>
      </c>
      <c r="N3">
        <f t="shared" si="24"/>
        <v>4.33</v>
      </c>
      <c r="O3">
        <f t="shared" si="24"/>
        <v>4.67</v>
      </c>
      <c r="P3">
        <f t="shared" si="24"/>
        <v>4.67</v>
      </c>
      <c r="Q3">
        <f t="shared" si="24"/>
        <v>4.67</v>
      </c>
      <c r="R3">
        <f t="shared" si="24"/>
        <v>4.67</v>
      </c>
      <c r="S3">
        <f t="shared" si="24"/>
        <v>4.67</v>
      </c>
      <c r="T3">
        <f t="shared" si="24"/>
        <v>4.67</v>
      </c>
      <c r="U3">
        <f t="shared" si="24"/>
        <v>4.67</v>
      </c>
      <c r="V3">
        <f t="shared" si="24"/>
        <v>4.67</v>
      </c>
      <c r="W3">
        <f t="shared" si="24"/>
        <v>4.67</v>
      </c>
      <c r="X3">
        <f t="shared" si="24"/>
        <v>3.67</v>
      </c>
      <c r="Y3">
        <f t="shared" si="24"/>
        <v>3.67</v>
      </c>
      <c r="Z3">
        <f t="shared" si="24"/>
        <v>4</v>
      </c>
      <c r="AA3">
        <f t="shared" si="24"/>
        <v>4.33</v>
      </c>
      <c r="AB3">
        <f t="shared" si="24"/>
        <v>4</v>
      </c>
      <c r="AC3">
        <f t="shared" si="24"/>
        <v>4.33</v>
      </c>
      <c r="AD3">
        <f t="shared" si="24"/>
        <v>4.67</v>
      </c>
      <c r="AE3">
        <f t="shared" si="24"/>
        <v>3.67</v>
      </c>
      <c r="AF3">
        <f t="shared" si="24"/>
        <v>4.67</v>
      </c>
      <c r="AG3">
        <f t="shared" si="24"/>
        <v>4.67</v>
      </c>
      <c r="AH3">
        <f t="shared" si="24"/>
        <v>4</v>
      </c>
      <c r="AI3">
        <f t="shared" si="24"/>
        <v>4.67</v>
      </c>
      <c r="AJ3">
        <f t="shared" si="24"/>
        <v>3.67</v>
      </c>
      <c r="AK3">
        <f t="shared" si="24"/>
        <v>4.33</v>
      </c>
      <c r="AL3">
        <f t="shared" si="24"/>
        <v>4.33</v>
      </c>
      <c r="AM3">
        <f t="shared" si="24"/>
        <v>4.67</v>
      </c>
      <c r="AN3">
        <f t="shared" si="24"/>
        <v>4</v>
      </c>
      <c r="AO3">
        <f t="shared" si="24"/>
        <v>4.33</v>
      </c>
      <c r="AP3">
        <f t="shared" si="24"/>
        <v>4.33</v>
      </c>
      <c r="AQ3">
        <f t="shared" si="24"/>
        <v>4.67</v>
      </c>
      <c r="AR3">
        <f t="shared" si="24"/>
        <v>4.67</v>
      </c>
      <c r="AS3">
        <f t="shared" si="24"/>
        <v>4.33</v>
      </c>
      <c r="AT3">
        <f t="shared" si="24"/>
        <v>4.67</v>
      </c>
      <c r="AU3">
        <f t="shared" si="24"/>
        <v>4.67</v>
      </c>
      <c r="AV3">
        <f t="shared" si="24"/>
        <v>4.67</v>
      </c>
      <c r="AW3">
        <f t="shared" si="24"/>
        <v>4.67</v>
      </c>
      <c r="AX3">
        <f t="shared" si="24"/>
        <v>4.67</v>
      </c>
      <c r="AY3">
        <f t="shared" si="24"/>
        <v>4.67</v>
      </c>
      <c r="AZ3">
        <f t="shared" si="24"/>
        <v>4.67</v>
      </c>
      <c r="BA3">
        <f t="shared" si="24"/>
        <v>4.67</v>
      </c>
      <c r="BB3">
        <f t="shared" si="24"/>
        <v>4.67</v>
      </c>
      <c r="BC3">
        <f t="shared" si="24"/>
        <v>4.33</v>
      </c>
      <c r="BD3">
        <f t="shared" si="24"/>
        <v>3.67</v>
      </c>
      <c r="BE3">
        <f t="shared" si="24"/>
        <v>4.33</v>
      </c>
      <c r="BF3">
        <f t="shared" si="24"/>
        <v>4.33</v>
      </c>
      <c r="BG3">
        <f t="shared" si="24"/>
        <v>4.67</v>
      </c>
      <c r="BH3">
        <f t="shared" si="24"/>
        <v>4.67</v>
      </c>
      <c r="BI3">
        <f t="shared" si="24"/>
        <v>4.67</v>
      </c>
      <c r="BJ3">
        <f t="shared" si="24"/>
        <v>4.67</v>
      </c>
      <c r="BK3">
        <f t="shared" si="24"/>
        <v>4.33</v>
      </c>
      <c r="BL3">
        <f t="shared" si="24"/>
        <v>4.33</v>
      </c>
      <c r="BM3">
        <f t="shared" si="24"/>
        <v>4.33</v>
      </c>
      <c r="BN3">
        <f t="shared" si="24"/>
        <v>4.67</v>
      </c>
      <c r="BO3">
        <f t="shared" si="24"/>
        <v>4.67</v>
      </c>
      <c r="BP3">
        <f t="shared" si="24"/>
        <v>3.67</v>
      </c>
      <c r="BQ3">
        <f t="shared" si="24"/>
        <v>4.67</v>
      </c>
      <c r="BR3">
        <f t="shared" si="24"/>
        <v>3.67</v>
      </c>
      <c r="BS3">
        <f t="shared" si="24"/>
        <v>4.67</v>
      </c>
      <c r="BT3">
        <f t="shared" si="24"/>
        <v>4.33</v>
      </c>
      <c r="BU3">
        <f t="shared" ref="BU3:DB3" si="25">ROUND(AVERAGE(BU5:BU20),2)</f>
        <v>4.67</v>
      </c>
      <c r="BV3">
        <f t="shared" si="25"/>
        <v>4.67</v>
      </c>
      <c r="BW3">
        <f t="shared" si="25"/>
        <v>4.67</v>
      </c>
      <c r="BX3">
        <f t="shared" si="25"/>
        <v>3.67</v>
      </c>
      <c r="BY3">
        <f t="shared" si="25"/>
        <v>4</v>
      </c>
      <c r="BZ3">
        <f t="shared" si="25"/>
        <v>4.33</v>
      </c>
      <c r="CA3">
        <f t="shared" si="25"/>
        <v>4</v>
      </c>
      <c r="CB3">
        <f t="shared" si="25"/>
        <v>4.67</v>
      </c>
      <c r="CC3">
        <f t="shared" si="25"/>
        <v>4.67</v>
      </c>
      <c r="CD3">
        <f t="shared" si="25"/>
        <v>4.67</v>
      </c>
      <c r="CE3">
        <f t="shared" si="25"/>
        <v>4.67</v>
      </c>
      <c r="CF3">
        <f t="shared" si="25"/>
        <v>4.33</v>
      </c>
      <c r="CG3">
        <f t="shared" si="25"/>
        <v>4.33</v>
      </c>
      <c r="CH3">
        <f t="shared" si="25"/>
        <v>4.67</v>
      </c>
      <c r="CI3">
        <f t="shared" si="25"/>
        <v>4</v>
      </c>
      <c r="CJ3">
        <f t="shared" si="25"/>
        <v>3.67</v>
      </c>
      <c r="CK3">
        <f t="shared" si="25"/>
        <v>3.33</v>
      </c>
      <c r="CL3">
        <f t="shared" si="25"/>
        <v>3.67</v>
      </c>
      <c r="CM3">
        <f t="shared" si="25"/>
        <v>4.33</v>
      </c>
      <c r="CN3">
        <f t="shared" si="25"/>
        <v>4</v>
      </c>
      <c r="CO3">
        <f t="shared" si="25"/>
        <v>4</v>
      </c>
      <c r="CP3">
        <f t="shared" si="25"/>
        <v>3.67</v>
      </c>
      <c r="CQ3">
        <f t="shared" si="25"/>
        <v>4.67</v>
      </c>
      <c r="CR3">
        <f t="shared" si="25"/>
        <v>4.33</v>
      </c>
      <c r="CS3">
        <f t="shared" si="25"/>
        <v>4.67</v>
      </c>
      <c r="CT3">
        <f t="shared" si="25"/>
        <v>4.67</v>
      </c>
      <c r="CU3">
        <f t="shared" si="25"/>
        <v>4.67</v>
      </c>
      <c r="CV3">
        <f t="shared" si="25"/>
        <v>4.33</v>
      </c>
      <c r="CW3">
        <f t="shared" si="25"/>
        <v>4.67</v>
      </c>
      <c r="CX3">
        <f t="shared" si="25"/>
        <v>4.67</v>
      </c>
      <c r="CY3">
        <f t="shared" si="25"/>
        <v>4.67</v>
      </c>
      <c r="CZ3">
        <f t="shared" si="25"/>
        <v>4.67</v>
      </c>
      <c r="DA3">
        <f t="shared" si="25"/>
        <v>4.67</v>
      </c>
      <c r="DB3">
        <f t="shared" si="25"/>
        <v>4.67</v>
      </c>
    </row>
    <row r="4" spans="1:109" ht="22.5" customHeight="1" x14ac:dyDescent="0.4">
      <c r="A4" s="3"/>
      <c r="B4" s="3" t="s">
        <v>1</v>
      </c>
      <c r="C4" s="3" t="s">
        <v>2</v>
      </c>
      <c r="D4" s="3" t="s">
        <v>3</v>
      </c>
      <c r="E4" s="3" t="s">
        <v>8</v>
      </c>
      <c r="F4" s="3" t="s">
        <v>9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10</v>
      </c>
      <c r="L4" s="3" t="s">
        <v>11</v>
      </c>
      <c r="M4" s="3" t="s">
        <v>12</v>
      </c>
      <c r="N4" s="3" t="s">
        <v>13</v>
      </c>
      <c r="O4" s="3" t="s">
        <v>14</v>
      </c>
      <c r="P4" s="3" t="s">
        <v>15</v>
      </c>
      <c r="Q4" s="3" t="s">
        <v>16</v>
      </c>
      <c r="R4" s="3" t="s">
        <v>17</v>
      </c>
      <c r="S4" s="3" t="s">
        <v>18</v>
      </c>
      <c r="T4" s="3" t="s">
        <v>19</v>
      </c>
      <c r="U4" s="3" t="s">
        <v>20</v>
      </c>
      <c r="V4" s="3" t="s">
        <v>21</v>
      </c>
      <c r="W4" s="3" t="s">
        <v>22</v>
      </c>
      <c r="X4" s="3" t="s">
        <v>23</v>
      </c>
      <c r="Y4" s="3" t="s">
        <v>24</v>
      </c>
      <c r="Z4" s="3" t="s">
        <v>25</v>
      </c>
      <c r="AA4" s="3" t="s">
        <v>26</v>
      </c>
      <c r="AB4" s="3" t="s">
        <v>27</v>
      </c>
      <c r="AC4" s="3" t="s">
        <v>28</v>
      </c>
      <c r="AD4" s="3" t="s">
        <v>29</v>
      </c>
      <c r="AE4" s="3" t="s">
        <v>30</v>
      </c>
      <c r="AF4" s="3" t="s">
        <v>31</v>
      </c>
      <c r="AG4" s="3" t="s">
        <v>32</v>
      </c>
      <c r="AH4" s="3" t="s">
        <v>33</v>
      </c>
      <c r="AI4" s="3" t="s">
        <v>34</v>
      </c>
      <c r="AJ4" s="3" t="s">
        <v>35</v>
      </c>
      <c r="AK4" s="3" t="s">
        <v>36</v>
      </c>
      <c r="AL4" s="3" t="s">
        <v>37</v>
      </c>
      <c r="AM4" s="3" t="s">
        <v>38</v>
      </c>
      <c r="AN4" s="3" t="s">
        <v>39</v>
      </c>
      <c r="AO4" s="3" t="s">
        <v>40</v>
      </c>
      <c r="AP4" s="3" t="s">
        <v>41</v>
      </c>
      <c r="AQ4" s="3" t="s">
        <v>42</v>
      </c>
      <c r="AR4" s="3" t="s">
        <v>43</v>
      </c>
      <c r="AS4" s="3" t="s">
        <v>44</v>
      </c>
      <c r="AT4" s="3" t="s">
        <v>45</v>
      </c>
      <c r="AU4" s="3" t="s">
        <v>46</v>
      </c>
      <c r="AV4" s="3" t="s">
        <v>47</v>
      </c>
      <c r="AW4" s="3" t="s">
        <v>48</v>
      </c>
      <c r="AX4" s="3" t="s">
        <v>49</v>
      </c>
      <c r="AY4" s="3" t="s">
        <v>50</v>
      </c>
      <c r="AZ4" s="3" t="s">
        <v>51</v>
      </c>
      <c r="BA4" s="3" t="s">
        <v>52</v>
      </c>
      <c r="BB4" s="3" t="s">
        <v>53</v>
      </c>
      <c r="BC4" s="3" t="s">
        <v>54</v>
      </c>
      <c r="BD4" s="3" t="s">
        <v>55</v>
      </c>
      <c r="BE4" s="3" t="s">
        <v>56</v>
      </c>
      <c r="BF4" s="3" t="s">
        <v>57</v>
      </c>
      <c r="BG4" s="3" t="s">
        <v>58</v>
      </c>
      <c r="BH4" s="3" t="s">
        <v>59</v>
      </c>
      <c r="BI4" s="3" t="s">
        <v>60</v>
      </c>
      <c r="BJ4" s="3" t="s">
        <v>61</v>
      </c>
      <c r="BK4" s="3" t="s">
        <v>62</v>
      </c>
      <c r="BL4" s="3" t="s">
        <v>63</v>
      </c>
      <c r="BM4" s="3" t="s">
        <v>64</v>
      </c>
      <c r="BN4" s="3" t="s">
        <v>65</v>
      </c>
      <c r="BO4" s="3" t="s">
        <v>66</v>
      </c>
      <c r="BP4" s="3" t="s">
        <v>67</v>
      </c>
      <c r="BQ4" s="3" t="s">
        <v>68</v>
      </c>
      <c r="BR4" s="3" t="s">
        <v>69</v>
      </c>
      <c r="BS4" s="3" t="s">
        <v>70</v>
      </c>
      <c r="BT4" s="3" t="s">
        <v>71</v>
      </c>
      <c r="BU4" s="3" t="s">
        <v>72</v>
      </c>
      <c r="BV4" s="3" t="s">
        <v>73</v>
      </c>
      <c r="BW4" s="3" t="s">
        <v>74</v>
      </c>
      <c r="BX4" s="3" t="s">
        <v>75</v>
      </c>
      <c r="BY4" s="3" t="s">
        <v>76</v>
      </c>
      <c r="BZ4" s="3" t="s">
        <v>77</v>
      </c>
      <c r="CA4" s="3" t="s">
        <v>78</v>
      </c>
      <c r="CB4" s="3" t="s">
        <v>79</v>
      </c>
      <c r="CC4" s="3" t="s">
        <v>80</v>
      </c>
      <c r="CD4" s="3" t="s">
        <v>81</v>
      </c>
      <c r="CE4" s="3" t="s">
        <v>82</v>
      </c>
      <c r="CF4" s="3" t="s">
        <v>83</v>
      </c>
      <c r="CG4" s="3" t="s">
        <v>84</v>
      </c>
      <c r="CH4" s="3" t="s">
        <v>85</v>
      </c>
      <c r="CI4" s="3" t="s">
        <v>86</v>
      </c>
      <c r="CJ4" s="3" t="s">
        <v>87</v>
      </c>
      <c r="CK4" s="3" t="s">
        <v>88</v>
      </c>
      <c r="CL4" s="3" t="s">
        <v>89</v>
      </c>
      <c r="CM4" s="3" t="s">
        <v>90</v>
      </c>
      <c r="CN4" s="3" t="s">
        <v>91</v>
      </c>
      <c r="CO4" s="3" t="s">
        <v>92</v>
      </c>
      <c r="CP4" s="3" t="s">
        <v>93</v>
      </c>
      <c r="CQ4" s="3" t="s">
        <v>94</v>
      </c>
      <c r="CR4" s="3" t="s">
        <v>95</v>
      </c>
      <c r="CS4" s="3" t="s">
        <v>96</v>
      </c>
      <c r="CT4" s="3" t="s">
        <v>97</v>
      </c>
      <c r="CU4" s="3" t="s">
        <v>98</v>
      </c>
      <c r="CV4" s="3" t="s">
        <v>99</v>
      </c>
      <c r="CW4" s="3" t="s">
        <v>100</v>
      </c>
      <c r="CX4" s="3" t="s">
        <v>101</v>
      </c>
      <c r="CY4" s="3" t="s">
        <v>102</v>
      </c>
      <c r="CZ4" s="3" t="s">
        <v>103</v>
      </c>
      <c r="DA4" s="3" t="s">
        <v>104</v>
      </c>
      <c r="DB4" s="3" t="s">
        <v>105</v>
      </c>
      <c r="DC4" s="3" t="s">
        <v>106</v>
      </c>
    </row>
    <row r="5" spans="1:109" x14ac:dyDescent="0.4">
      <c r="B5" t="str" cm="1">
        <f t="array" ref="B5:DE7">_xlfn._xlws.FILTER(Resp!B:DE, Resp!B:B="De 3 a 7 años", "No hay datos")</f>
        <v>De 3 a 7 años</v>
      </c>
      <c r="C5">
        <v>5</v>
      </c>
      <c r="D5">
        <v>5</v>
      </c>
      <c r="E5" t="str">
        <v>Solo con supervisión</v>
      </c>
      <c r="F5" t="str">
        <v>En la última pregunta dejaría claro si te refieres a cuánto llevaría con o sin IA. Entiendo que es usando lo que quieras.</v>
      </c>
      <c r="G5">
        <v>5</v>
      </c>
      <c r="H5">
        <v>3</v>
      </c>
      <c r="I5">
        <v>5</v>
      </c>
      <c r="J5">
        <v>5</v>
      </c>
      <c r="K5">
        <v>5</v>
      </c>
      <c r="L5">
        <v>5</v>
      </c>
      <c r="M5">
        <v>3</v>
      </c>
      <c r="N5">
        <v>4</v>
      </c>
      <c r="O5">
        <v>5</v>
      </c>
      <c r="P5">
        <v>5</v>
      </c>
      <c r="Q5">
        <v>5</v>
      </c>
      <c r="R5">
        <v>5</v>
      </c>
      <c r="S5">
        <v>5</v>
      </c>
      <c r="T5">
        <v>5</v>
      </c>
      <c r="U5">
        <v>5</v>
      </c>
      <c r="V5">
        <v>5</v>
      </c>
      <c r="W5">
        <v>5</v>
      </c>
      <c r="X5">
        <v>4</v>
      </c>
      <c r="Y5">
        <v>5</v>
      </c>
      <c r="Z5">
        <v>5</v>
      </c>
      <c r="AA5">
        <v>5</v>
      </c>
      <c r="AB5">
        <v>5</v>
      </c>
      <c r="AC5">
        <v>5</v>
      </c>
      <c r="AD5">
        <v>5</v>
      </c>
      <c r="AE5">
        <v>2</v>
      </c>
      <c r="AF5">
        <v>5</v>
      </c>
      <c r="AG5">
        <v>5</v>
      </c>
      <c r="AH5">
        <v>3</v>
      </c>
      <c r="AI5">
        <v>5</v>
      </c>
      <c r="AJ5">
        <v>5</v>
      </c>
      <c r="AK5">
        <v>5</v>
      </c>
      <c r="AL5">
        <v>5</v>
      </c>
      <c r="AM5">
        <v>5</v>
      </c>
      <c r="AN5">
        <v>5</v>
      </c>
      <c r="AO5">
        <v>5</v>
      </c>
      <c r="AP5">
        <v>5</v>
      </c>
      <c r="AQ5">
        <v>5</v>
      </c>
      <c r="AR5">
        <v>5</v>
      </c>
      <c r="AS5">
        <v>5</v>
      </c>
      <c r="AT5">
        <v>5</v>
      </c>
      <c r="AU5">
        <v>5</v>
      </c>
      <c r="AV5">
        <v>5</v>
      </c>
      <c r="AW5">
        <v>5</v>
      </c>
      <c r="AX5">
        <v>5</v>
      </c>
      <c r="AY5">
        <v>5</v>
      </c>
      <c r="AZ5">
        <v>5</v>
      </c>
      <c r="BA5">
        <v>5</v>
      </c>
      <c r="BB5">
        <v>5</v>
      </c>
      <c r="BC5">
        <v>5</v>
      </c>
      <c r="BD5">
        <v>5</v>
      </c>
      <c r="BE5">
        <v>5</v>
      </c>
      <c r="BF5">
        <v>5</v>
      </c>
      <c r="BG5">
        <v>5</v>
      </c>
      <c r="BH5">
        <v>5</v>
      </c>
      <c r="BI5">
        <v>5</v>
      </c>
      <c r="BJ5">
        <v>5</v>
      </c>
      <c r="BK5">
        <v>5</v>
      </c>
      <c r="BL5">
        <v>5</v>
      </c>
      <c r="BM5">
        <v>5</v>
      </c>
      <c r="BN5">
        <v>5</v>
      </c>
      <c r="BO5">
        <v>5</v>
      </c>
      <c r="BP5">
        <v>4</v>
      </c>
      <c r="BQ5">
        <v>5</v>
      </c>
      <c r="BR5">
        <v>4</v>
      </c>
      <c r="BS5">
        <v>5</v>
      </c>
      <c r="BT5">
        <v>5</v>
      </c>
      <c r="BU5">
        <v>5</v>
      </c>
      <c r="BV5">
        <v>5</v>
      </c>
      <c r="BW5">
        <v>5</v>
      </c>
      <c r="BX5">
        <v>5</v>
      </c>
      <c r="BY5">
        <v>4</v>
      </c>
      <c r="BZ5">
        <v>5</v>
      </c>
      <c r="CA5">
        <v>3</v>
      </c>
      <c r="CB5">
        <v>5</v>
      </c>
      <c r="CC5">
        <v>5</v>
      </c>
      <c r="CD5">
        <v>5</v>
      </c>
      <c r="CE5">
        <v>5</v>
      </c>
      <c r="CF5">
        <v>5</v>
      </c>
      <c r="CG5">
        <v>4</v>
      </c>
      <c r="CH5">
        <v>5</v>
      </c>
      <c r="CI5">
        <v>4</v>
      </c>
      <c r="CJ5">
        <v>4</v>
      </c>
      <c r="CK5">
        <v>2</v>
      </c>
      <c r="CL5">
        <v>4</v>
      </c>
      <c r="CM5">
        <v>5</v>
      </c>
      <c r="CN5">
        <v>5</v>
      </c>
      <c r="CO5">
        <v>5</v>
      </c>
      <c r="CP5">
        <v>4</v>
      </c>
      <c r="CQ5">
        <v>5</v>
      </c>
      <c r="CR5">
        <v>5</v>
      </c>
      <c r="CS5">
        <v>5</v>
      </c>
      <c r="CT5">
        <v>5</v>
      </c>
      <c r="CU5">
        <v>5</v>
      </c>
      <c r="CV5">
        <v>5</v>
      </c>
      <c r="CW5">
        <v>5</v>
      </c>
      <c r="CX5">
        <v>5</v>
      </c>
      <c r="CY5">
        <v>5</v>
      </c>
      <c r="CZ5">
        <v>5</v>
      </c>
      <c r="DA5">
        <v>5</v>
      </c>
      <c r="DB5">
        <v>5</v>
      </c>
      <c r="DC5" t="str">
        <v>1 hora</v>
      </c>
      <c r="DD5">
        <v>0</v>
      </c>
      <c r="DE5">
        <v>0</v>
      </c>
    </row>
    <row r="6" spans="1:109" x14ac:dyDescent="0.4">
      <c r="B6" t="str">
        <v>De 3 a 7 años</v>
      </c>
      <c r="C6">
        <v>5</v>
      </c>
      <c r="D6">
        <v>4</v>
      </c>
      <c r="E6" t="str">
        <v>Solo con supervisión</v>
      </c>
      <c r="F6">
        <v>0</v>
      </c>
      <c r="G6">
        <v>2</v>
      </c>
      <c r="H6">
        <v>2</v>
      </c>
      <c r="I6">
        <v>3</v>
      </c>
      <c r="J6">
        <v>2</v>
      </c>
      <c r="K6">
        <v>5</v>
      </c>
      <c r="L6">
        <v>5</v>
      </c>
      <c r="M6">
        <v>5</v>
      </c>
      <c r="N6">
        <v>5</v>
      </c>
      <c r="O6">
        <v>5</v>
      </c>
      <c r="P6">
        <v>5</v>
      </c>
      <c r="Q6">
        <v>5</v>
      </c>
      <c r="R6">
        <v>5</v>
      </c>
      <c r="S6">
        <v>5</v>
      </c>
      <c r="T6">
        <v>5</v>
      </c>
      <c r="U6">
        <v>5</v>
      </c>
      <c r="V6">
        <v>5</v>
      </c>
      <c r="W6">
        <v>5</v>
      </c>
      <c r="X6">
        <v>3</v>
      </c>
      <c r="Y6">
        <v>2</v>
      </c>
      <c r="Z6">
        <v>3</v>
      </c>
      <c r="AA6">
        <v>4</v>
      </c>
      <c r="AB6">
        <v>3</v>
      </c>
      <c r="AC6">
        <v>4</v>
      </c>
      <c r="AD6">
        <v>5</v>
      </c>
      <c r="AE6">
        <v>5</v>
      </c>
      <c r="AF6">
        <v>5</v>
      </c>
      <c r="AG6">
        <v>5</v>
      </c>
      <c r="AH6">
        <v>5</v>
      </c>
      <c r="AI6">
        <v>5</v>
      </c>
      <c r="AJ6">
        <v>2</v>
      </c>
      <c r="AK6">
        <v>4</v>
      </c>
      <c r="AL6">
        <v>4</v>
      </c>
      <c r="AM6">
        <v>5</v>
      </c>
      <c r="AN6">
        <v>3</v>
      </c>
      <c r="AO6">
        <v>4</v>
      </c>
      <c r="AP6">
        <v>4</v>
      </c>
      <c r="AQ6">
        <v>5</v>
      </c>
      <c r="AR6">
        <v>5</v>
      </c>
      <c r="AS6">
        <v>4</v>
      </c>
      <c r="AT6">
        <v>5</v>
      </c>
      <c r="AU6">
        <v>5</v>
      </c>
      <c r="AV6">
        <v>5</v>
      </c>
      <c r="AW6">
        <v>5</v>
      </c>
      <c r="AX6">
        <v>5</v>
      </c>
      <c r="AY6">
        <v>5</v>
      </c>
      <c r="AZ6">
        <v>5</v>
      </c>
      <c r="BA6">
        <v>5</v>
      </c>
      <c r="BB6">
        <v>5</v>
      </c>
      <c r="BC6">
        <v>4</v>
      </c>
      <c r="BD6">
        <v>2</v>
      </c>
      <c r="BE6">
        <v>4</v>
      </c>
      <c r="BF6">
        <v>4</v>
      </c>
      <c r="BG6">
        <v>5</v>
      </c>
      <c r="BH6">
        <v>5</v>
      </c>
      <c r="BI6">
        <v>5</v>
      </c>
      <c r="BJ6">
        <v>5</v>
      </c>
      <c r="BK6">
        <v>5</v>
      </c>
      <c r="BL6">
        <v>5</v>
      </c>
      <c r="BM6">
        <v>5</v>
      </c>
      <c r="BN6">
        <v>5</v>
      </c>
      <c r="BO6">
        <v>5</v>
      </c>
      <c r="BP6">
        <v>3</v>
      </c>
      <c r="BQ6">
        <v>5</v>
      </c>
      <c r="BR6">
        <v>3</v>
      </c>
      <c r="BS6">
        <v>5</v>
      </c>
      <c r="BT6">
        <v>5</v>
      </c>
      <c r="BU6">
        <v>5</v>
      </c>
      <c r="BV6">
        <v>5</v>
      </c>
      <c r="BW6">
        <v>5</v>
      </c>
      <c r="BX6">
        <v>3</v>
      </c>
      <c r="BY6">
        <v>4</v>
      </c>
      <c r="BZ6">
        <v>4</v>
      </c>
      <c r="CA6">
        <v>5</v>
      </c>
      <c r="CB6">
        <v>5</v>
      </c>
      <c r="CC6">
        <v>5</v>
      </c>
      <c r="CD6">
        <v>5</v>
      </c>
      <c r="CE6">
        <v>5</v>
      </c>
      <c r="CF6">
        <v>5</v>
      </c>
      <c r="CG6">
        <v>5</v>
      </c>
      <c r="CH6">
        <v>5</v>
      </c>
      <c r="CI6">
        <v>4</v>
      </c>
      <c r="CJ6">
        <v>3</v>
      </c>
      <c r="CK6">
        <v>4</v>
      </c>
      <c r="CL6">
        <v>3</v>
      </c>
      <c r="CM6">
        <v>4</v>
      </c>
      <c r="CN6">
        <v>3</v>
      </c>
      <c r="CO6">
        <v>3</v>
      </c>
      <c r="CP6">
        <v>3</v>
      </c>
      <c r="CQ6">
        <v>5</v>
      </c>
      <c r="CR6">
        <v>5</v>
      </c>
      <c r="CS6">
        <v>5</v>
      </c>
      <c r="CT6">
        <v>5</v>
      </c>
      <c r="CU6">
        <v>5</v>
      </c>
      <c r="CV6">
        <v>5</v>
      </c>
      <c r="CW6">
        <v>5</v>
      </c>
      <c r="CX6">
        <v>5</v>
      </c>
      <c r="CY6">
        <v>5</v>
      </c>
      <c r="CZ6">
        <v>5</v>
      </c>
      <c r="DA6">
        <v>5</v>
      </c>
      <c r="DB6">
        <v>5</v>
      </c>
      <c r="DC6" t="str">
        <v>2-3 horas</v>
      </c>
      <c r="DD6">
        <v>0</v>
      </c>
      <c r="DE6">
        <v>0</v>
      </c>
    </row>
    <row r="7" spans="1:109" x14ac:dyDescent="0.4">
      <c r="B7" t="str">
        <v>De 3 a 7 años</v>
      </c>
      <c r="C7">
        <v>4</v>
      </c>
      <c r="D7">
        <v>4</v>
      </c>
      <c r="E7" t="str">
        <v>Solo con supervisión</v>
      </c>
      <c r="F7" t="str">
        <v>La IA puede ayudar a generar preguntas, apuntes, ... pero hay que trabajar los promts adecuados para conseguir los objetivos deseados</v>
      </c>
      <c r="G7">
        <v>4</v>
      </c>
      <c r="H7">
        <v>3</v>
      </c>
      <c r="I7">
        <v>4</v>
      </c>
      <c r="J7">
        <v>4</v>
      </c>
      <c r="K7">
        <v>4</v>
      </c>
      <c r="L7">
        <v>4</v>
      </c>
      <c r="M7">
        <v>4</v>
      </c>
      <c r="N7">
        <v>4</v>
      </c>
      <c r="O7">
        <v>4</v>
      </c>
      <c r="P7">
        <v>4</v>
      </c>
      <c r="Q7">
        <v>4</v>
      </c>
      <c r="R7">
        <v>4</v>
      </c>
      <c r="S7">
        <v>4</v>
      </c>
      <c r="T7">
        <v>4</v>
      </c>
      <c r="U7">
        <v>4</v>
      </c>
      <c r="V7">
        <v>4</v>
      </c>
      <c r="W7">
        <v>4</v>
      </c>
      <c r="X7">
        <v>4</v>
      </c>
      <c r="Y7">
        <v>4</v>
      </c>
      <c r="Z7">
        <v>4</v>
      </c>
      <c r="AA7">
        <v>4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  <c r="AL7">
        <v>4</v>
      </c>
      <c r="AM7">
        <v>4</v>
      </c>
      <c r="AN7">
        <v>4</v>
      </c>
      <c r="AO7">
        <v>4</v>
      </c>
      <c r="AP7">
        <v>4</v>
      </c>
      <c r="AQ7">
        <v>4</v>
      </c>
      <c r="AR7">
        <v>4</v>
      </c>
      <c r="AS7">
        <v>4</v>
      </c>
      <c r="AT7">
        <v>4</v>
      </c>
      <c r="AU7">
        <v>4</v>
      </c>
      <c r="AV7">
        <v>4</v>
      </c>
      <c r="AW7">
        <v>4</v>
      </c>
      <c r="AX7">
        <v>4</v>
      </c>
      <c r="AY7">
        <v>4</v>
      </c>
      <c r="AZ7">
        <v>4</v>
      </c>
      <c r="BA7">
        <v>4</v>
      </c>
      <c r="BB7">
        <v>4</v>
      </c>
      <c r="BC7">
        <v>4</v>
      </c>
      <c r="BD7">
        <v>4</v>
      </c>
      <c r="BE7">
        <v>4</v>
      </c>
      <c r="BF7">
        <v>4</v>
      </c>
      <c r="BG7">
        <v>4</v>
      </c>
      <c r="BH7">
        <v>4</v>
      </c>
      <c r="BI7">
        <v>4</v>
      </c>
      <c r="BJ7">
        <v>4</v>
      </c>
      <c r="BK7">
        <v>3</v>
      </c>
      <c r="BL7">
        <v>3</v>
      </c>
      <c r="BM7">
        <v>3</v>
      </c>
      <c r="BN7">
        <v>4</v>
      </c>
      <c r="BO7">
        <v>4</v>
      </c>
      <c r="BP7">
        <v>4</v>
      </c>
      <c r="BQ7">
        <v>4</v>
      </c>
      <c r="BR7">
        <v>4</v>
      </c>
      <c r="BS7">
        <v>4</v>
      </c>
      <c r="BT7">
        <v>3</v>
      </c>
      <c r="BU7">
        <v>4</v>
      </c>
      <c r="BV7">
        <v>4</v>
      </c>
      <c r="BW7">
        <v>4</v>
      </c>
      <c r="BX7">
        <v>3</v>
      </c>
      <c r="BY7">
        <v>4</v>
      </c>
      <c r="BZ7">
        <v>4</v>
      </c>
      <c r="CA7">
        <v>4</v>
      </c>
      <c r="CB7">
        <v>4</v>
      </c>
      <c r="CC7">
        <v>4</v>
      </c>
      <c r="CD7">
        <v>4</v>
      </c>
      <c r="CE7">
        <v>4</v>
      </c>
      <c r="CF7">
        <v>3</v>
      </c>
      <c r="CG7">
        <v>4</v>
      </c>
      <c r="CH7">
        <v>4</v>
      </c>
      <c r="CI7">
        <v>4</v>
      </c>
      <c r="CJ7">
        <v>4</v>
      </c>
      <c r="CK7">
        <v>4</v>
      </c>
      <c r="CL7">
        <v>4</v>
      </c>
      <c r="CM7">
        <v>4</v>
      </c>
      <c r="CN7">
        <v>4</v>
      </c>
      <c r="CO7">
        <v>4</v>
      </c>
      <c r="CP7">
        <v>4</v>
      </c>
      <c r="CQ7">
        <v>4</v>
      </c>
      <c r="CR7">
        <v>3</v>
      </c>
      <c r="CS7">
        <v>4</v>
      </c>
      <c r="CT7">
        <v>4</v>
      </c>
      <c r="CU7">
        <v>4</v>
      </c>
      <c r="CV7">
        <v>3</v>
      </c>
      <c r="CW7">
        <v>4</v>
      </c>
      <c r="CX7">
        <v>4</v>
      </c>
      <c r="CY7">
        <v>4</v>
      </c>
      <c r="CZ7">
        <v>4</v>
      </c>
      <c r="DA7">
        <v>4</v>
      </c>
      <c r="DB7">
        <v>4</v>
      </c>
      <c r="DC7" t="str">
        <v>4-5 horas</v>
      </c>
      <c r="DD7">
        <v>0</v>
      </c>
      <c r="DE7">
        <v>0</v>
      </c>
    </row>
    <row r="22" spans="1:32" x14ac:dyDescent="0.4">
      <c r="H22">
        <f>((COLUMN()-8)*4)+7</f>
        <v>7</v>
      </c>
      <c r="I22">
        <f t="shared" ref="I22:AF22" si="26">((COLUMN()-8)*4)+7</f>
        <v>11</v>
      </c>
      <c r="J22">
        <f t="shared" si="26"/>
        <v>15</v>
      </c>
      <c r="K22">
        <f t="shared" si="26"/>
        <v>19</v>
      </c>
      <c r="L22">
        <f t="shared" si="26"/>
        <v>23</v>
      </c>
      <c r="M22">
        <f t="shared" si="26"/>
        <v>27</v>
      </c>
      <c r="N22">
        <f t="shared" si="26"/>
        <v>31</v>
      </c>
      <c r="O22">
        <f t="shared" si="26"/>
        <v>35</v>
      </c>
      <c r="P22">
        <f t="shared" si="26"/>
        <v>39</v>
      </c>
      <c r="Q22">
        <f t="shared" si="26"/>
        <v>43</v>
      </c>
      <c r="R22">
        <f t="shared" si="26"/>
        <v>47</v>
      </c>
      <c r="S22">
        <f t="shared" si="26"/>
        <v>51</v>
      </c>
      <c r="T22">
        <f t="shared" si="26"/>
        <v>55</v>
      </c>
      <c r="U22">
        <f t="shared" si="26"/>
        <v>59</v>
      </c>
      <c r="V22">
        <f t="shared" si="26"/>
        <v>63</v>
      </c>
      <c r="W22">
        <f t="shared" si="26"/>
        <v>67</v>
      </c>
      <c r="X22">
        <f t="shared" si="26"/>
        <v>71</v>
      </c>
      <c r="Y22">
        <f t="shared" si="26"/>
        <v>75</v>
      </c>
      <c r="Z22">
        <f t="shared" si="26"/>
        <v>79</v>
      </c>
      <c r="AA22">
        <f t="shared" si="26"/>
        <v>83</v>
      </c>
      <c r="AB22">
        <f t="shared" si="26"/>
        <v>87</v>
      </c>
      <c r="AC22">
        <f t="shared" si="26"/>
        <v>91</v>
      </c>
      <c r="AD22">
        <f t="shared" si="26"/>
        <v>95</v>
      </c>
      <c r="AE22">
        <f t="shared" si="26"/>
        <v>99</v>
      </c>
      <c r="AF22">
        <f t="shared" si="26"/>
        <v>103</v>
      </c>
    </row>
    <row r="23" spans="1:32" x14ac:dyDescent="0.4">
      <c r="A23" s="6"/>
      <c r="E23" s="11" t="s">
        <v>145</v>
      </c>
      <c r="F23" s="11"/>
      <c r="G23" s="11"/>
      <c r="H23" s="6" cm="1">
        <f t="array" ref="H23">INDEX($A:$FF,3,H$22)</f>
        <v>3.67</v>
      </c>
      <c r="I23" s="6" cm="1">
        <f t="array" ref="I23">INDEX($A:$FF,3,I$22)</f>
        <v>4.67</v>
      </c>
      <c r="J23" s="6" cm="1">
        <f t="array" ref="J23">INDEX($A:$FF,3,J$22)</f>
        <v>4.67</v>
      </c>
      <c r="K23" s="6" cm="1">
        <f t="array" ref="K23">INDEX($A:$FF,3,K$22)</f>
        <v>4.67</v>
      </c>
      <c r="L23" s="6" cm="1">
        <f t="array" ref="L23">INDEX($A:$FF,3,L$22)</f>
        <v>4.67</v>
      </c>
      <c r="M23" s="6" cm="1">
        <f t="array" ref="M23">INDEX($A:$FF,3,M$22)</f>
        <v>4.33</v>
      </c>
      <c r="N23" s="6" cm="1">
        <f t="array" ref="N23">INDEX($A:$FF,3,N$22)</f>
        <v>3.67</v>
      </c>
      <c r="O23" s="6" cm="1">
        <f t="array" ref="O23">INDEX($A:$FF,3,O$22)</f>
        <v>4.67</v>
      </c>
      <c r="P23" s="6" cm="1">
        <f t="array" ref="P23">INDEX($A:$FF,3,P$22)</f>
        <v>4.67</v>
      </c>
      <c r="Q23" s="6" cm="1">
        <f t="array" ref="Q23">INDEX($A:$FF,3,Q$22)</f>
        <v>4.67</v>
      </c>
      <c r="R23" s="6" cm="1">
        <f t="array" ref="R23">INDEX($A:$FF,3,R$22)</f>
        <v>4.67</v>
      </c>
      <c r="S23" s="6" cm="1">
        <f t="array" ref="S23">INDEX($A:$FF,3,S$22)</f>
        <v>4.67</v>
      </c>
      <c r="T23" s="6" cm="1">
        <f t="array" ref="T23">INDEX($A:$FF,3,T$22)</f>
        <v>4.33</v>
      </c>
      <c r="U23" s="6" cm="1">
        <f t="array" ref="U23">INDEX($A:$FF,3,U$22)</f>
        <v>4.67</v>
      </c>
      <c r="V23" s="6" cm="1">
        <f t="array" ref="V23">INDEX($A:$FF,3,V$22)</f>
        <v>4.33</v>
      </c>
      <c r="W23" s="6" cm="1">
        <f t="array" ref="W23">INDEX($A:$FF,3,W$22)</f>
        <v>4.67</v>
      </c>
      <c r="X23" s="6" cm="1">
        <f t="array" ref="X23">INDEX($A:$FF,3,X$22)</f>
        <v>4.67</v>
      </c>
      <c r="Y23" s="6" cm="1">
        <f t="array" ref="Y23">INDEX($A:$FF,3,Y$22)</f>
        <v>4.67</v>
      </c>
      <c r="Z23" s="6" cm="1">
        <f t="array" ref="Z23">INDEX($A:$FF,3,Z$22)</f>
        <v>4</v>
      </c>
      <c r="AA23" s="6" cm="1">
        <f t="array" ref="AA23">INDEX($A:$FF,3,AA$22)</f>
        <v>4.67</v>
      </c>
      <c r="AB23" s="6" cm="1">
        <f t="array" ref="AB23">INDEX($A:$FF,3,AB$22)</f>
        <v>4</v>
      </c>
      <c r="AC23" s="6" cm="1">
        <f t="array" ref="AC23">INDEX($A:$FF,3,AC$22)</f>
        <v>4.33</v>
      </c>
      <c r="AD23" s="6" cm="1">
        <f t="array" ref="AD23">INDEX($A:$FF,3,AD$22)</f>
        <v>4.67</v>
      </c>
      <c r="AE23" s="6" cm="1">
        <f t="array" ref="AE23">INDEX($A:$FF,3,AE$22)</f>
        <v>4.67</v>
      </c>
      <c r="AF23" s="6" cm="1">
        <f t="array" ref="AF23">INDEX($A:$FF,3,AF$22)</f>
        <v>4.67</v>
      </c>
    </row>
    <row r="24" spans="1:32" x14ac:dyDescent="0.4">
      <c r="E24" s="11" t="s">
        <v>146</v>
      </c>
      <c r="F24" s="11"/>
      <c r="G24" s="11"/>
      <c r="H24" s="6" cm="1">
        <f t="array" ref="H24">INDEX($A:$FF,3,H$22+1)</f>
        <v>2.67</v>
      </c>
      <c r="I24" s="6" cm="1">
        <f t="array" ref="I24">INDEX($A:$FF,3,I$22+1)</f>
        <v>4.67</v>
      </c>
      <c r="J24" s="6" cm="1">
        <f t="array" ref="J24">INDEX($A:$FF,3,J$22+1)</f>
        <v>4.67</v>
      </c>
      <c r="K24" s="6" cm="1">
        <f t="array" ref="K24">INDEX($A:$FF,3,K$22+1)</f>
        <v>4.67</v>
      </c>
      <c r="L24" s="6" cm="1">
        <f t="array" ref="L24">INDEX($A:$FF,3,L$22+1)</f>
        <v>3.67</v>
      </c>
      <c r="M24" s="6" cm="1">
        <f t="array" ref="M24">INDEX($A:$FF,3,M$22+1)</f>
        <v>4</v>
      </c>
      <c r="N24" s="6" cm="1">
        <f t="array" ref="N24">INDEX($A:$FF,3,N$22+1)</f>
        <v>4.67</v>
      </c>
      <c r="O24" s="6" cm="1">
        <f t="array" ref="O24">INDEX($A:$FF,3,O$22+1)</f>
        <v>3.67</v>
      </c>
      <c r="P24" s="6" cm="1">
        <f t="array" ref="P24">INDEX($A:$FF,3,P$22+1)</f>
        <v>4</v>
      </c>
      <c r="Q24" s="6" cm="1">
        <f t="array" ref="Q24">INDEX($A:$FF,3,Q$22+1)</f>
        <v>4.67</v>
      </c>
      <c r="R24" s="6" cm="1">
        <f t="array" ref="R24">INDEX($A:$FF,3,R$22+1)</f>
        <v>4.67</v>
      </c>
      <c r="S24" s="6" cm="1">
        <f t="array" ref="S24">INDEX($A:$FF,3,S$22+1)</f>
        <v>4.67</v>
      </c>
      <c r="T24" s="6" cm="1">
        <f t="array" ref="T24">INDEX($A:$FF,3,T$22+1)</f>
        <v>3.67</v>
      </c>
      <c r="U24" s="6" cm="1">
        <f t="array" ref="U24">INDEX($A:$FF,3,U$22+1)</f>
        <v>4.67</v>
      </c>
      <c r="V24" s="6" cm="1">
        <f t="array" ref="V24">INDEX($A:$FF,3,V$22+1)</f>
        <v>4.33</v>
      </c>
      <c r="W24" s="6" cm="1">
        <f t="array" ref="W24">INDEX($A:$FF,3,W$22+1)</f>
        <v>3.67</v>
      </c>
      <c r="X24" s="6" cm="1">
        <f t="array" ref="X24">INDEX($A:$FF,3,X$22+1)</f>
        <v>4.33</v>
      </c>
      <c r="Y24" s="6" cm="1">
        <f t="array" ref="Y24">INDEX($A:$FF,3,Y$22+1)</f>
        <v>3.67</v>
      </c>
      <c r="Z24" s="6" cm="1">
        <f t="array" ref="Z24">INDEX($A:$FF,3,Z$22+1)</f>
        <v>4.67</v>
      </c>
      <c r="AA24" s="6" cm="1">
        <f t="array" ref="AA24">INDEX($A:$FF,3,AA$22+1)</f>
        <v>4.33</v>
      </c>
      <c r="AB24" s="6" cm="1">
        <f t="array" ref="AB24">INDEX($A:$FF,3,AB$22+1)</f>
        <v>3.67</v>
      </c>
      <c r="AC24" s="6" cm="1">
        <f t="array" ref="AC24">INDEX($A:$FF,3,AC$22+1)</f>
        <v>4</v>
      </c>
      <c r="AD24" s="6" cm="1">
        <f t="array" ref="AD24">INDEX($A:$FF,3,AD$22+1)</f>
        <v>4.33</v>
      </c>
      <c r="AE24" s="6" cm="1">
        <f t="array" ref="AE24">INDEX($A:$FF,3,AE$22+1)</f>
        <v>4.33</v>
      </c>
      <c r="AF24" s="6" cm="1">
        <f t="array" ref="AF24">INDEX($A:$FF,3,AF$22+1)</f>
        <v>4.67</v>
      </c>
    </row>
    <row r="25" spans="1:32" x14ac:dyDescent="0.4">
      <c r="E25" s="11" t="s">
        <v>144</v>
      </c>
      <c r="F25" s="11"/>
      <c r="G25" s="11"/>
      <c r="H25" cm="1">
        <f t="array" ref="H25">INDEX($A:$FF,3,H$22+2)</f>
        <v>4</v>
      </c>
      <c r="I25" cm="1">
        <f t="array" ref="I25">INDEX($A:$FF,3,I$22+2)</f>
        <v>4</v>
      </c>
      <c r="J25" cm="1">
        <f t="array" ref="J25">INDEX($A:$FF,3,J$22+2)</f>
        <v>4.67</v>
      </c>
      <c r="K25" cm="1">
        <f t="array" ref="K25">INDEX($A:$FF,3,K$22+2)</f>
        <v>4.67</v>
      </c>
      <c r="L25" cm="1">
        <f t="array" ref="L25">INDEX($A:$FF,3,L$22+2)</f>
        <v>3.67</v>
      </c>
      <c r="M25" cm="1">
        <f t="array" ref="M25">INDEX($A:$FF,3,M$22+2)</f>
        <v>4.33</v>
      </c>
      <c r="N25" cm="1">
        <f t="array" ref="N25">INDEX($A:$FF,3,N$22+2)</f>
        <v>4.67</v>
      </c>
      <c r="O25" cm="1">
        <f t="array" ref="O25">INDEX($A:$FF,3,O$22+2)</f>
        <v>4.33</v>
      </c>
      <c r="P25" cm="1">
        <f t="array" ref="P25">INDEX($A:$FF,3,P$22+2)</f>
        <v>4.33</v>
      </c>
      <c r="Q25" cm="1">
        <f t="array" ref="Q25">INDEX($A:$FF,3,Q$22+2)</f>
        <v>4.33</v>
      </c>
      <c r="R25" cm="1">
        <f t="array" ref="R25">INDEX($A:$FF,3,R$22+2)</f>
        <v>4.67</v>
      </c>
      <c r="S25" cm="1">
        <f t="array" ref="S25">INDEX($A:$FF,3,S$22+2)</f>
        <v>4.67</v>
      </c>
      <c r="T25" cm="1">
        <f t="array" ref="T25">INDEX($A:$FF,3,T$22+2)</f>
        <v>4.33</v>
      </c>
      <c r="U25" cm="1">
        <f t="array" ref="U25">INDEX($A:$FF,3,U$22+2)</f>
        <v>4.67</v>
      </c>
      <c r="V25" cm="1">
        <f t="array" ref="V25">INDEX($A:$FF,3,V$22+2)</f>
        <v>4.33</v>
      </c>
      <c r="W25" cm="1">
        <f t="array" ref="W25">INDEX($A:$FF,3,W$22+2)</f>
        <v>4.67</v>
      </c>
      <c r="X25" cm="1">
        <f t="array" ref="X25">INDEX($A:$FF,3,X$22+2)</f>
        <v>4.67</v>
      </c>
      <c r="Y25" cm="1">
        <f t="array" ref="Y25">INDEX($A:$FF,3,Y$22+2)</f>
        <v>4</v>
      </c>
      <c r="Z25" cm="1">
        <f t="array" ref="Z25">INDEX($A:$FF,3,Z$22+2)</f>
        <v>4.67</v>
      </c>
      <c r="AA25" cm="1">
        <f t="array" ref="AA25">INDEX($A:$FF,3,AA$22+2)</f>
        <v>4.33</v>
      </c>
      <c r="AB25" cm="1">
        <f t="array" ref="AB25">INDEX($A:$FF,3,AB$22+2)</f>
        <v>3.33</v>
      </c>
      <c r="AC25" cm="1">
        <f t="array" ref="AC25">INDEX($A:$FF,3,AC$22+2)</f>
        <v>4</v>
      </c>
      <c r="AD25" cm="1">
        <f t="array" ref="AD25">INDEX($A:$FF,3,AD$22+2)</f>
        <v>4.67</v>
      </c>
      <c r="AE25" cm="1">
        <f t="array" ref="AE25">INDEX($A:$FF,3,AE$22+2)</f>
        <v>4.67</v>
      </c>
      <c r="AF25" cm="1">
        <f t="array" ref="AF25">INDEX($A:$FF,3,AF$22+2)</f>
        <v>4.67</v>
      </c>
    </row>
    <row r="26" spans="1:32" x14ac:dyDescent="0.4">
      <c r="E26" s="11" t="s">
        <v>143</v>
      </c>
      <c r="F26" s="11"/>
      <c r="G26" s="11"/>
      <c r="H26" cm="1">
        <f t="array" ref="H26">INDEX($A:$FF,3,H$22+3)</f>
        <v>3.67</v>
      </c>
      <c r="I26" cm="1">
        <f t="array" ref="I26">INDEX($A:$FF,3,I$22+3)</f>
        <v>4.33</v>
      </c>
      <c r="J26" cm="1">
        <f t="array" ref="J26">INDEX($A:$FF,3,J$22+3)</f>
        <v>4.67</v>
      </c>
      <c r="K26" cm="1">
        <f t="array" ref="K26">INDEX($A:$FF,3,K$22+3)</f>
        <v>4.67</v>
      </c>
      <c r="L26" cm="1">
        <f t="array" ref="L26">INDEX($A:$FF,3,L$22+3)</f>
        <v>4</v>
      </c>
      <c r="M26" cm="1">
        <f t="array" ref="M26">INDEX($A:$FF,3,M$22+3)</f>
        <v>4.67</v>
      </c>
      <c r="N26" cm="1">
        <f t="array" ref="N26">INDEX($A:$FF,3,N$22+3)</f>
        <v>4</v>
      </c>
      <c r="O26" cm="1">
        <f t="array" ref="O26">INDEX($A:$FF,3,O$22+3)</f>
        <v>4.33</v>
      </c>
      <c r="P26" cm="1">
        <f t="array" ref="P26">INDEX($A:$FF,3,P$22+3)</f>
        <v>4.33</v>
      </c>
      <c r="Q26" cm="1">
        <f t="array" ref="Q26">INDEX($A:$FF,3,Q$22+3)</f>
        <v>4.67</v>
      </c>
      <c r="R26" cm="1">
        <f t="array" ref="R26">INDEX($A:$FF,3,R$22+3)</f>
        <v>4.67</v>
      </c>
      <c r="S26" cm="1">
        <f t="array" ref="S26">INDEX($A:$FF,3,S$22+3)</f>
        <v>4.67</v>
      </c>
      <c r="T26" cm="1">
        <f t="array" ref="T26">INDEX($A:$FF,3,T$22+3)</f>
        <v>4.33</v>
      </c>
      <c r="U26" cm="1">
        <f t="array" ref="U26">INDEX($A:$FF,3,U$22+3)</f>
        <v>4.67</v>
      </c>
      <c r="V26" cm="1">
        <f t="array" ref="V26">INDEX($A:$FF,3,V$22+3)</f>
        <v>4.67</v>
      </c>
      <c r="W26" cm="1">
        <f t="array" ref="W26">INDEX($A:$FF,3,W$22+3)</f>
        <v>3.67</v>
      </c>
      <c r="X26" cm="1">
        <f t="array" ref="X26">INDEX($A:$FF,3,X$22+3)</f>
        <v>4.67</v>
      </c>
      <c r="Y26" cm="1">
        <f t="array" ref="Y26">INDEX($A:$FF,3,Y$22+3)</f>
        <v>4.33</v>
      </c>
      <c r="Z26" cm="1">
        <f t="array" ref="Z26">INDEX($A:$FF,3,Z$22+3)</f>
        <v>4.67</v>
      </c>
      <c r="AA26" cm="1">
        <f t="array" ref="AA26">INDEX($A:$FF,3,AA$22+3)</f>
        <v>4.67</v>
      </c>
      <c r="AB26" cm="1">
        <f t="array" ref="AB26">INDEX($A:$FF,3,AB$22+3)</f>
        <v>3.67</v>
      </c>
      <c r="AC26" cm="1">
        <f t="array" ref="AC26">INDEX($A:$FF,3,AC$22+3)</f>
        <v>3.67</v>
      </c>
      <c r="AD26" cm="1">
        <f t="array" ref="AD26">INDEX($A:$FF,3,AD$22+3)</f>
        <v>4.67</v>
      </c>
      <c r="AE26" cm="1">
        <f t="array" ref="AE26">INDEX($A:$FF,3,AE$22+3)</f>
        <v>4.67</v>
      </c>
      <c r="AF26" cm="1">
        <f t="array" ref="AF26">INDEX($A:$FF,3,AF$22+3)</f>
        <v>4.67</v>
      </c>
    </row>
    <row r="27" spans="1:32" s="4" customFormat="1" x14ac:dyDescent="0.4">
      <c r="E27" s="12" t="s">
        <v>147</v>
      </c>
      <c r="F27" s="12"/>
      <c r="G27" s="12"/>
      <c r="H27" s="7">
        <f>AVERAGE(H23:H26)</f>
        <v>3.5024999999999999</v>
      </c>
      <c r="I27" s="7">
        <f t="shared" ref="I27:AF27" si="27">AVERAGE(I23:I26)</f>
        <v>4.4175000000000004</v>
      </c>
      <c r="J27" s="7">
        <f t="shared" si="27"/>
        <v>4.67</v>
      </c>
      <c r="K27" s="7">
        <f t="shared" si="27"/>
        <v>4.67</v>
      </c>
      <c r="L27" s="7">
        <f t="shared" si="27"/>
        <v>4.0024999999999995</v>
      </c>
      <c r="M27" s="7">
        <f t="shared" si="27"/>
        <v>4.3324999999999996</v>
      </c>
      <c r="N27" s="7">
        <f t="shared" si="27"/>
        <v>4.2524999999999995</v>
      </c>
      <c r="O27" s="7">
        <f t="shared" si="27"/>
        <v>4.25</v>
      </c>
      <c r="P27" s="7">
        <f t="shared" si="27"/>
        <v>4.3324999999999996</v>
      </c>
      <c r="Q27" s="7">
        <f t="shared" si="27"/>
        <v>4.585</v>
      </c>
      <c r="R27" s="7">
        <f t="shared" si="27"/>
        <v>4.67</v>
      </c>
      <c r="S27" s="7">
        <f t="shared" si="27"/>
        <v>4.67</v>
      </c>
      <c r="T27" s="7">
        <f t="shared" si="27"/>
        <v>4.165</v>
      </c>
      <c r="U27" s="7">
        <f t="shared" si="27"/>
        <v>4.67</v>
      </c>
      <c r="V27" s="7">
        <f t="shared" si="27"/>
        <v>4.415</v>
      </c>
      <c r="W27" s="7">
        <f t="shared" si="27"/>
        <v>4.17</v>
      </c>
      <c r="X27" s="7">
        <f t="shared" si="27"/>
        <v>4.585</v>
      </c>
      <c r="Y27" s="7">
        <f t="shared" si="27"/>
        <v>4.1675000000000004</v>
      </c>
      <c r="Z27" s="7">
        <f t="shared" si="27"/>
        <v>4.5024999999999995</v>
      </c>
      <c r="AA27" s="7">
        <f t="shared" si="27"/>
        <v>4.5</v>
      </c>
      <c r="AB27" s="7">
        <f t="shared" si="27"/>
        <v>3.6675</v>
      </c>
      <c r="AC27" s="7">
        <f t="shared" si="27"/>
        <v>4</v>
      </c>
      <c r="AD27" s="7">
        <f t="shared" si="27"/>
        <v>4.585</v>
      </c>
      <c r="AE27" s="7">
        <f t="shared" si="27"/>
        <v>4.585</v>
      </c>
      <c r="AF27" s="7">
        <f t="shared" si="27"/>
        <v>4.67</v>
      </c>
    </row>
    <row r="28" spans="1:32" x14ac:dyDescent="0.4">
      <c r="H28">
        <v>1</v>
      </c>
      <c r="I28">
        <v>2</v>
      </c>
      <c r="J28">
        <v>3</v>
      </c>
      <c r="K28">
        <v>4</v>
      </c>
      <c r="L28">
        <v>5</v>
      </c>
      <c r="M28">
        <v>6</v>
      </c>
      <c r="N28">
        <v>7</v>
      </c>
      <c r="O28">
        <v>8</v>
      </c>
      <c r="P28">
        <v>9</v>
      </c>
      <c r="Q28">
        <v>10</v>
      </c>
      <c r="R28">
        <v>11</v>
      </c>
      <c r="S28">
        <v>12</v>
      </c>
      <c r="T28">
        <v>13</v>
      </c>
      <c r="U28">
        <v>14</v>
      </c>
      <c r="V28">
        <v>15</v>
      </c>
      <c r="W28">
        <v>16</v>
      </c>
      <c r="X28">
        <v>17</v>
      </c>
      <c r="Y28">
        <v>18</v>
      </c>
      <c r="Z28">
        <v>19</v>
      </c>
      <c r="AA28">
        <v>20</v>
      </c>
      <c r="AB28">
        <v>21</v>
      </c>
      <c r="AC28">
        <v>22</v>
      </c>
      <c r="AD28">
        <v>23</v>
      </c>
      <c r="AE28">
        <v>24</v>
      </c>
      <c r="AF28">
        <v>25</v>
      </c>
    </row>
    <row r="31" spans="1:32" ht="39.299999999999997" customHeight="1" x14ac:dyDescent="0.4">
      <c r="H31" s="8" t="str">
        <f>E23</f>
        <v xml:space="preserve"> Claridad técnica</v>
      </c>
      <c r="I31" s="8" t="str">
        <f>E24</f>
        <v>Nivel de dificultad adecuado</v>
      </c>
      <c r="J31" s="8" t="str">
        <f>E25</f>
        <v>Calidad de los distractores</v>
      </c>
      <c r="K31" s="8" t="str">
        <f>E26</f>
        <v>Validez pedagógica</v>
      </c>
      <c r="L31" s="8" t="s">
        <v>173</v>
      </c>
    </row>
    <row r="32" spans="1:32" x14ac:dyDescent="0.4">
      <c r="G32" t="s">
        <v>148</v>
      </c>
      <c r="H32" cm="1">
        <f t="array" ref="H32:H56">TRANSPOSE(H23:AF23)</f>
        <v>3.67</v>
      </c>
      <c r="I32" cm="1">
        <f t="array" ref="I32:I56">TRANSPOSE(H24:AF24)</f>
        <v>2.67</v>
      </c>
      <c r="J32" cm="1">
        <f t="array" ref="J32:J56">TRANSPOSE(H25:AF25)</f>
        <v>4</v>
      </c>
      <c r="K32" cm="1">
        <f t="array" ref="K32:K56">TRANSPOSE(H26:AF26)</f>
        <v>3.67</v>
      </c>
      <c r="L32" cm="1">
        <f t="array" ref="L32:L56">TRANSPOSE(H27:AF27)</f>
        <v>3.5024999999999999</v>
      </c>
    </row>
    <row r="33" spans="7:12" x14ac:dyDescent="0.4">
      <c r="G33" t="s">
        <v>149</v>
      </c>
      <c r="H33">
        <v>4.67</v>
      </c>
      <c r="I33">
        <v>4.67</v>
      </c>
      <c r="J33">
        <v>4</v>
      </c>
      <c r="K33">
        <v>4.33</v>
      </c>
      <c r="L33">
        <v>4.4175000000000004</v>
      </c>
    </row>
    <row r="34" spans="7:12" x14ac:dyDescent="0.4">
      <c r="G34" t="s">
        <v>150</v>
      </c>
      <c r="H34">
        <v>4.67</v>
      </c>
      <c r="I34">
        <v>4.67</v>
      </c>
      <c r="J34">
        <v>4.67</v>
      </c>
      <c r="K34">
        <v>4.67</v>
      </c>
      <c r="L34">
        <v>4.67</v>
      </c>
    </row>
    <row r="35" spans="7:12" x14ac:dyDescent="0.4">
      <c r="G35" t="s">
        <v>151</v>
      </c>
      <c r="H35">
        <v>4.67</v>
      </c>
      <c r="I35">
        <v>4.67</v>
      </c>
      <c r="J35">
        <v>4.67</v>
      </c>
      <c r="K35">
        <v>4.67</v>
      </c>
      <c r="L35">
        <v>4.67</v>
      </c>
    </row>
    <row r="36" spans="7:12" x14ac:dyDescent="0.4">
      <c r="G36" t="s">
        <v>152</v>
      </c>
      <c r="H36">
        <v>4.67</v>
      </c>
      <c r="I36">
        <v>3.67</v>
      </c>
      <c r="J36">
        <v>3.67</v>
      </c>
      <c r="K36">
        <v>4</v>
      </c>
      <c r="L36">
        <v>4.0024999999999995</v>
      </c>
    </row>
    <row r="37" spans="7:12" x14ac:dyDescent="0.4">
      <c r="G37" t="s">
        <v>153</v>
      </c>
      <c r="H37">
        <v>4.33</v>
      </c>
      <c r="I37">
        <v>4</v>
      </c>
      <c r="J37">
        <v>4.33</v>
      </c>
      <c r="K37">
        <v>4.67</v>
      </c>
      <c r="L37">
        <v>4.3324999999999996</v>
      </c>
    </row>
    <row r="38" spans="7:12" x14ac:dyDescent="0.4">
      <c r="G38" t="s">
        <v>154</v>
      </c>
      <c r="H38">
        <v>3.67</v>
      </c>
      <c r="I38">
        <v>4.67</v>
      </c>
      <c r="J38">
        <v>4.67</v>
      </c>
      <c r="K38">
        <v>4</v>
      </c>
      <c r="L38">
        <v>4.2524999999999995</v>
      </c>
    </row>
    <row r="39" spans="7:12" x14ac:dyDescent="0.4">
      <c r="G39" t="s">
        <v>155</v>
      </c>
      <c r="H39">
        <v>4.67</v>
      </c>
      <c r="I39">
        <v>3.67</v>
      </c>
      <c r="J39">
        <v>4.33</v>
      </c>
      <c r="K39">
        <v>4.33</v>
      </c>
      <c r="L39">
        <v>4.25</v>
      </c>
    </row>
    <row r="40" spans="7:12" x14ac:dyDescent="0.4">
      <c r="G40" t="s">
        <v>156</v>
      </c>
      <c r="H40">
        <v>4.67</v>
      </c>
      <c r="I40">
        <v>4</v>
      </c>
      <c r="J40">
        <v>4.33</v>
      </c>
      <c r="K40">
        <v>4.33</v>
      </c>
      <c r="L40">
        <v>4.3324999999999996</v>
      </c>
    </row>
    <row r="41" spans="7:12" x14ac:dyDescent="0.4">
      <c r="G41" t="s">
        <v>157</v>
      </c>
      <c r="H41">
        <v>4.67</v>
      </c>
      <c r="I41">
        <v>4.67</v>
      </c>
      <c r="J41">
        <v>4.33</v>
      </c>
      <c r="K41">
        <v>4.67</v>
      </c>
      <c r="L41">
        <v>4.585</v>
      </c>
    </row>
    <row r="42" spans="7:12" x14ac:dyDescent="0.4">
      <c r="G42" t="s">
        <v>158</v>
      </c>
      <c r="H42">
        <v>4.67</v>
      </c>
      <c r="I42">
        <v>4.67</v>
      </c>
      <c r="J42">
        <v>4.67</v>
      </c>
      <c r="K42">
        <v>4.67</v>
      </c>
      <c r="L42">
        <v>4.67</v>
      </c>
    </row>
    <row r="43" spans="7:12" x14ac:dyDescent="0.4">
      <c r="G43" t="s">
        <v>159</v>
      </c>
      <c r="H43">
        <v>4.67</v>
      </c>
      <c r="I43">
        <v>4.67</v>
      </c>
      <c r="J43">
        <v>4.67</v>
      </c>
      <c r="K43">
        <v>4.67</v>
      </c>
      <c r="L43">
        <v>4.67</v>
      </c>
    </row>
    <row r="44" spans="7:12" x14ac:dyDescent="0.4">
      <c r="G44" t="s">
        <v>160</v>
      </c>
      <c r="H44">
        <v>4.33</v>
      </c>
      <c r="I44">
        <v>3.67</v>
      </c>
      <c r="J44">
        <v>4.33</v>
      </c>
      <c r="K44">
        <v>4.33</v>
      </c>
      <c r="L44">
        <v>4.165</v>
      </c>
    </row>
    <row r="45" spans="7:12" x14ac:dyDescent="0.4">
      <c r="G45" t="s">
        <v>161</v>
      </c>
      <c r="H45">
        <v>4.67</v>
      </c>
      <c r="I45">
        <v>4.67</v>
      </c>
      <c r="J45">
        <v>4.67</v>
      </c>
      <c r="K45">
        <v>4.67</v>
      </c>
      <c r="L45">
        <v>4.67</v>
      </c>
    </row>
    <row r="46" spans="7:12" x14ac:dyDescent="0.4">
      <c r="G46" t="s">
        <v>162</v>
      </c>
      <c r="H46">
        <v>4.33</v>
      </c>
      <c r="I46">
        <v>4.33</v>
      </c>
      <c r="J46">
        <v>4.33</v>
      </c>
      <c r="K46">
        <v>4.67</v>
      </c>
      <c r="L46">
        <v>4.415</v>
      </c>
    </row>
    <row r="47" spans="7:12" x14ac:dyDescent="0.4">
      <c r="G47" t="s">
        <v>163</v>
      </c>
      <c r="H47">
        <v>4.67</v>
      </c>
      <c r="I47">
        <v>3.67</v>
      </c>
      <c r="J47">
        <v>4.67</v>
      </c>
      <c r="K47">
        <v>3.67</v>
      </c>
      <c r="L47">
        <v>4.17</v>
      </c>
    </row>
    <row r="48" spans="7:12" x14ac:dyDescent="0.4">
      <c r="G48" t="s">
        <v>164</v>
      </c>
      <c r="H48">
        <v>4.67</v>
      </c>
      <c r="I48">
        <v>4.33</v>
      </c>
      <c r="J48">
        <v>4.67</v>
      </c>
      <c r="K48">
        <v>4.67</v>
      </c>
      <c r="L48">
        <v>4.585</v>
      </c>
    </row>
    <row r="49" spans="7:12" x14ac:dyDescent="0.4">
      <c r="G49" t="s">
        <v>165</v>
      </c>
      <c r="H49">
        <v>4.67</v>
      </c>
      <c r="I49">
        <v>3.67</v>
      </c>
      <c r="J49">
        <v>4</v>
      </c>
      <c r="K49">
        <v>4.33</v>
      </c>
      <c r="L49">
        <v>4.1675000000000004</v>
      </c>
    </row>
    <row r="50" spans="7:12" x14ac:dyDescent="0.4">
      <c r="G50" t="s">
        <v>166</v>
      </c>
      <c r="H50">
        <v>4</v>
      </c>
      <c r="I50">
        <v>4.67</v>
      </c>
      <c r="J50">
        <v>4.67</v>
      </c>
      <c r="K50">
        <v>4.67</v>
      </c>
      <c r="L50">
        <v>4.5024999999999995</v>
      </c>
    </row>
    <row r="51" spans="7:12" x14ac:dyDescent="0.4">
      <c r="G51" t="s">
        <v>167</v>
      </c>
      <c r="H51">
        <v>4.67</v>
      </c>
      <c r="I51">
        <v>4.33</v>
      </c>
      <c r="J51">
        <v>4.33</v>
      </c>
      <c r="K51">
        <v>4.67</v>
      </c>
      <c r="L51">
        <v>4.5</v>
      </c>
    </row>
    <row r="52" spans="7:12" x14ac:dyDescent="0.4">
      <c r="G52" t="s">
        <v>168</v>
      </c>
      <c r="H52">
        <v>4</v>
      </c>
      <c r="I52">
        <v>3.67</v>
      </c>
      <c r="J52">
        <v>3.33</v>
      </c>
      <c r="K52">
        <v>3.67</v>
      </c>
      <c r="L52">
        <v>3.6675</v>
      </c>
    </row>
    <row r="53" spans="7:12" x14ac:dyDescent="0.4">
      <c r="G53" t="s">
        <v>169</v>
      </c>
      <c r="H53">
        <v>4.33</v>
      </c>
      <c r="I53">
        <v>4</v>
      </c>
      <c r="J53">
        <v>4</v>
      </c>
      <c r="K53">
        <v>3.67</v>
      </c>
      <c r="L53">
        <v>4</v>
      </c>
    </row>
    <row r="54" spans="7:12" x14ac:dyDescent="0.4">
      <c r="G54" t="s">
        <v>170</v>
      </c>
      <c r="H54">
        <v>4.67</v>
      </c>
      <c r="I54">
        <v>4.33</v>
      </c>
      <c r="J54">
        <v>4.67</v>
      </c>
      <c r="K54">
        <v>4.67</v>
      </c>
      <c r="L54">
        <v>4.585</v>
      </c>
    </row>
    <row r="55" spans="7:12" x14ac:dyDescent="0.4">
      <c r="G55" t="s">
        <v>171</v>
      </c>
      <c r="H55">
        <v>4.67</v>
      </c>
      <c r="I55">
        <v>4.33</v>
      </c>
      <c r="J55">
        <v>4.67</v>
      </c>
      <c r="K55">
        <v>4.67</v>
      </c>
      <c r="L55">
        <v>4.585</v>
      </c>
    </row>
    <row r="56" spans="7:12" x14ac:dyDescent="0.4">
      <c r="G56" t="s">
        <v>172</v>
      </c>
      <c r="H56">
        <v>4.67</v>
      </c>
      <c r="I56">
        <v>4.67</v>
      </c>
      <c r="J56">
        <v>4.67</v>
      </c>
      <c r="K56">
        <v>4.67</v>
      </c>
      <c r="L56">
        <v>4.67</v>
      </c>
    </row>
    <row r="57" spans="7:12" x14ac:dyDescent="0.4">
      <c r="G57" t="s">
        <v>173</v>
      </c>
      <c r="H57">
        <f t="shared" ref="H57:K57" si="28">AVERAGE(_xlfn.ANCHORARRAY(H32))</f>
        <v>4.4820000000000011</v>
      </c>
      <c r="I57">
        <f t="shared" si="28"/>
        <v>4.2016</v>
      </c>
      <c r="J57">
        <f t="shared" si="28"/>
        <v>4.3740000000000006</v>
      </c>
      <c r="K57">
        <f t="shared" si="28"/>
        <v>4.3884000000000007</v>
      </c>
      <c r="L57">
        <f>AVERAGE(_xlfn.ANCHORARRAY(L32))</f>
        <v>4.3614999999999995</v>
      </c>
    </row>
  </sheetData>
  <mergeCells count="55">
    <mergeCell ref="AA1:AD1"/>
    <mergeCell ref="G1:J1"/>
    <mergeCell ref="K1:N1"/>
    <mergeCell ref="O1:R1"/>
    <mergeCell ref="S1:V1"/>
    <mergeCell ref="W1:Z1"/>
    <mergeCell ref="BW1:BZ1"/>
    <mergeCell ref="AE1:AH1"/>
    <mergeCell ref="AI1:AL1"/>
    <mergeCell ref="AM1:AP1"/>
    <mergeCell ref="AQ1:AT1"/>
    <mergeCell ref="AU1:AX1"/>
    <mergeCell ref="AY1:BB1"/>
    <mergeCell ref="BC1:BF1"/>
    <mergeCell ref="BG1:BJ1"/>
    <mergeCell ref="BK1:BN1"/>
    <mergeCell ref="BO1:BR1"/>
    <mergeCell ref="BS1:BV1"/>
    <mergeCell ref="CY1:DB1"/>
    <mergeCell ref="G2:J2"/>
    <mergeCell ref="K2:N2"/>
    <mergeCell ref="O2:R2"/>
    <mergeCell ref="S2:V2"/>
    <mergeCell ref="W2:Z2"/>
    <mergeCell ref="AA2:AD2"/>
    <mergeCell ref="AE2:AH2"/>
    <mergeCell ref="AI2:AL2"/>
    <mergeCell ref="AM2:AP2"/>
    <mergeCell ref="CA1:CD1"/>
    <mergeCell ref="CE1:CH1"/>
    <mergeCell ref="CI1:CL1"/>
    <mergeCell ref="CM1:CP1"/>
    <mergeCell ref="CQ1:CT1"/>
    <mergeCell ref="CU1:CX1"/>
    <mergeCell ref="CU2:CX2"/>
    <mergeCell ref="CY2:DB2"/>
    <mergeCell ref="E23:G23"/>
    <mergeCell ref="E24:G24"/>
    <mergeCell ref="BO2:BR2"/>
    <mergeCell ref="BS2:BV2"/>
    <mergeCell ref="BW2:BZ2"/>
    <mergeCell ref="CA2:CD2"/>
    <mergeCell ref="CE2:CH2"/>
    <mergeCell ref="CI2:CL2"/>
    <mergeCell ref="AQ2:AT2"/>
    <mergeCell ref="AU2:AX2"/>
    <mergeCell ref="AY2:BB2"/>
    <mergeCell ref="BC2:BF2"/>
    <mergeCell ref="BG2:BJ2"/>
    <mergeCell ref="BK2:BN2"/>
    <mergeCell ref="E25:G25"/>
    <mergeCell ref="E26:G26"/>
    <mergeCell ref="E27:G27"/>
    <mergeCell ref="CM2:CP2"/>
    <mergeCell ref="CQ2:CT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F597A0-58D5-48D4-936E-9592A80E88BB}">
  <sheetPr>
    <outlinePr summaryBelow="0" summaryRight="0"/>
  </sheetPr>
  <dimension ref="A1:AI37"/>
  <sheetViews>
    <sheetView workbookViewId="0">
      <pane ySplit="4" topLeftCell="A18" activePane="bottomLeft" state="frozen"/>
      <selection pane="bottomLeft" activeCell="F37" sqref="F37"/>
    </sheetView>
  </sheetViews>
  <sheetFormatPr baseColWidth="10" defaultColWidth="12.609375" defaultRowHeight="15.75" customHeight="1" x14ac:dyDescent="0.4"/>
  <cols>
    <col min="1" max="6" width="10.609375" customWidth="1"/>
    <col min="7" max="26" width="7.609375" customWidth="1"/>
    <col min="27" max="27" width="56.6640625" customWidth="1"/>
    <col min="28" max="34" width="18.88671875" customWidth="1"/>
    <col min="35" max="35" width="11" customWidth="1"/>
    <col min="36" max="59" width="5.609375" customWidth="1"/>
  </cols>
  <sheetData>
    <row r="1" spans="1:35" ht="15.75" customHeight="1" x14ac:dyDescent="0.4">
      <c r="G1" s="13" t="s">
        <v>118</v>
      </c>
      <c r="H1" s="13"/>
      <c r="I1" s="13"/>
      <c r="J1" s="13"/>
      <c r="K1" s="13" t="s">
        <v>123</v>
      </c>
      <c r="L1" s="13"/>
      <c r="M1" s="13"/>
      <c r="N1" s="13"/>
      <c r="O1" s="13" t="s">
        <v>129</v>
      </c>
      <c r="P1" s="13"/>
      <c r="Q1" s="13"/>
      <c r="R1" s="13"/>
      <c r="S1" s="13" t="s">
        <v>133</v>
      </c>
      <c r="T1" s="13"/>
      <c r="U1" s="13"/>
      <c r="V1" s="13"/>
      <c r="W1" s="13" t="s">
        <v>140</v>
      </c>
      <c r="X1" s="13"/>
      <c r="Y1" s="13"/>
      <c r="Z1" s="13"/>
    </row>
    <row r="2" spans="1:35" ht="15.75" customHeight="1" x14ac:dyDescent="0.4">
      <c r="F2" s="4">
        <f>ROUND(AVERAGE(G3:Z3),2)</f>
        <v>3.95</v>
      </c>
      <c r="G2" s="13">
        <f>ROUND(AVERAGE(G3:J3),2)</f>
        <v>4.05</v>
      </c>
      <c r="H2" s="13"/>
      <c r="I2" s="13"/>
      <c r="J2" s="13"/>
      <c r="K2" s="13">
        <f>ROUND(AVERAGE(K3:N3),2)</f>
        <v>3.85</v>
      </c>
      <c r="L2" s="13"/>
      <c r="M2" s="13"/>
      <c r="N2" s="13"/>
      <c r="O2" s="13">
        <f>ROUND(AVERAGE(O3:R3),2)</f>
        <v>3.98</v>
      </c>
      <c r="P2" s="13"/>
      <c r="Q2" s="13"/>
      <c r="R2" s="13"/>
      <c r="S2" s="13">
        <f>ROUND(AVERAGE(S3:V3),2)</f>
        <v>3.75</v>
      </c>
      <c r="T2" s="13"/>
      <c r="U2" s="13"/>
      <c r="V2" s="13"/>
      <c r="W2" s="13">
        <f>ROUND(AVERAGE(W3:Z3),2)</f>
        <v>4.13</v>
      </c>
      <c r="X2" s="13"/>
      <c r="Y2" s="13"/>
      <c r="Z2" s="13"/>
    </row>
    <row r="3" spans="1:35" ht="15.75" customHeight="1" x14ac:dyDescent="0.4">
      <c r="C3">
        <f>ROUND(AVERAGE(C5:C30),2)</f>
        <v>3.8</v>
      </c>
      <c r="D3">
        <f>ROUND(AVERAGE(D5:D30),2)</f>
        <v>4.0999999999999996</v>
      </c>
      <c r="G3">
        <f t="shared" ref="G3:S3" si="0">ROUND(AVERAGE(G5:G20),2)</f>
        <v>4.2</v>
      </c>
      <c r="H3">
        <f t="shared" si="0"/>
        <v>4.2</v>
      </c>
      <c r="I3">
        <f t="shared" si="0"/>
        <v>3.7</v>
      </c>
      <c r="J3">
        <f t="shared" si="0"/>
        <v>4.0999999999999996</v>
      </c>
      <c r="K3">
        <f t="shared" si="0"/>
        <v>4</v>
      </c>
      <c r="L3">
        <f t="shared" si="0"/>
        <v>3.8</v>
      </c>
      <c r="M3">
        <f t="shared" si="0"/>
        <v>3.9</v>
      </c>
      <c r="N3">
        <f t="shared" si="0"/>
        <v>3.7</v>
      </c>
      <c r="O3">
        <f t="shared" si="0"/>
        <v>4.2</v>
      </c>
      <c r="P3">
        <f t="shared" si="0"/>
        <v>3.7</v>
      </c>
      <c r="Q3">
        <f t="shared" si="0"/>
        <v>4</v>
      </c>
      <c r="R3">
        <f t="shared" si="0"/>
        <v>4</v>
      </c>
      <c r="S3">
        <f t="shared" si="0"/>
        <v>4</v>
      </c>
      <c r="T3">
        <f t="shared" ref="T3:Z3" si="1">ROUND(AVERAGE(T5:T20),2)</f>
        <v>3.4</v>
      </c>
      <c r="U3">
        <f t="shared" si="1"/>
        <v>3.8</v>
      </c>
      <c r="V3">
        <f t="shared" si="1"/>
        <v>3.8</v>
      </c>
      <c r="W3">
        <f t="shared" si="1"/>
        <v>4.4000000000000004</v>
      </c>
      <c r="X3">
        <f t="shared" si="1"/>
        <v>3.7</v>
      </c>
      <c r="Y3">
        <f t="shared" si="1"/>
        <v>4.0999999999999996</v>
      </c>
      <c r="Z3">
        <f t="shared" si="1"/>
        <v>4.3</v>
      </c>
    </row>
    <row r="4" spans="1:35" ht="22.5" customHeight="1" x14ac:dyDescent="0.4">
      <c r="A4" s="3" t="s">
        <v>0</v>
      </c>
      <c r="B4" s="3" t="s">
        <v>1</v>
      </c>
      <c r="C4" s="3" t="s">
        <v>2</v>
      </c>
      <c r="D4" s="3" t="s">
        <v>3</v>
      </c>
      <c r="E4" s="3" t="s">
        <v>8</v>
      </c>
      <c r="F4" s="3" t="s">
        <v>9</v>
      </c>
      <c r="G4" s="3" t="s">
        <v>10</v>
      </c>
      <c r="H4" s="3" t="s">
        <v>11</v>
      </c>
      <c r="I4" s="3" t="s">
        <v>12</v>
      </c>
      <c r="J4" s="3" t="s">
        <v>13</v>
      </c>
      <c r="K4" s="3" t="s">
        <v>30</v>
      </c>
      <c r="L4" s="3" t="s">
        <v>31</v>
      </c>
      <c r="M4" s="3" t="s">
        <v>32</v>
      </c>
      <c r="N4" s="3" t="s">
        <v>33</v>
      </c>
      <c r="O4" s="3" t="s">
        <v>54</v>
      </c>
      <c r="P4" s="3" t="s">
        <v>55</v>
      </c>
      <c r="Q4" s="3" t="s">
        <v>56</v>
      </c>
      <c r="R4" s="3" t="s">
        <v>57</v>
      </c>
      <c r="S4" s="3" t="s">
        <v>70</v>
      </c>
      <c r="T4" s="3" t="s">
        <v>71</v>
      </c>
      <c r="U4" s="3" t="s">
        <v>72</v>
      </c>
      <c r="V4" s="3" t="s">
        <v>73</v>
      </c>
      <c r="W4" s="3" t="s">
        <v>98</v>
      </c>
      <c r="X4" s="3" t="s">
        <v>99</v>
      </c>
      <c r="Y4" s="3" t="s">
        <v>100</v>
      </c>
      <c r="Z4" s="3" t="s">
        <v>101</v>
      </c>
      <c r="AA4" s="3" t="s">
        <v>106</v>
      </c>
    </row>
    <row r="5" spans="1:35" ht="22.5" customHeight="1" x14ac:dyDescent="0.4">
      <c r="A5" s="1">
        <v>46197.104298391205</v>
      </c>
      <c r="B5" s="2" t="s">
        <v>107</v>
      </c>
      <c r="C5" s="2">
        <v>5</v>
      </c>
      <c r="D5" s="2">
        <v>5</v>
      </c>
      <c r="E5" s="2" t="s">
        <v>108</v>
      </c>
      <c r="F5" s="2" t="s">
        <v>109</v>
      </c>
      <c r="G5" s="2">
        <v>5</v>
      </c>
      <c r="H5" s="2">
        <v>5</v>
      </c>
      <c r="I5" s="2">
        <v>3</v>
      </c>
      <c r="J5" s="2">
        <v>4</v>
      </c>
      <c r="K5" s="2">
        <v>2</v>
      </c>
      <c r="L5" s="2">
        <v>5</v>
      </c>
      <c r="M5" s="2">
        <v>5</v>
      </c>
      <c r="N5" s="2">
        <v>3</v>
      </c>
      <c r="O5" s="2">
        <v>5</v>
      </c>
      <c r="P5" s="2">
        <v>5</v>
      </c>
      <c r="Q5" s="2">
        <v>5</v>
      </c>
      <c r="R5" s="2">
        <v>5</v>
      </c>
      <c r="S5" s="2">
        <v>5</v>
      </c>
      <c r="T5" s="2">
        <v>5</v>
      </c>
      <c r="U5" s="2">
        <v>5</v>
      </c>
      <c r="V5" s="2">
        <v>5</v>
      </c>
      <c r="W5" s="2">
        <v>5</v>
      </c>
      <c r="X5" s="2">
        <v>5</v>
      </c>
      <c r="Y5" s="2">
        <v>5</v>
      </c>
      <c r="Z5" s="2">
        <v>5</v>
      </c>
      <c r="AA5" s="2" t="s">
        <v>110</v>
      </c>
      <c r="AF5">
        <v>1</v>
      </c>
      <c r="AG5" t="str">
        <f>CHAR(67+AF5*4)</f>
        <v>G</v>
      </c>
      <c r="AH5" t="s">
        <v>117</v>
      </c>
      <c r="AI5" t="e">
        <f>#REF!</f>
        <v>#REF!</v>
      </c>
    </row>
    <row r="6" spans="1:35" ht="22.5" customHeight="1" x14ac:dyDescent="0.4">
      <c r="A6" s="1">
        <v>46197.602006956018</v>
      </c>
      <c r="B6" s="2" t="s">
        <v>107</v>
      </c>
      <c r="C6" s="2">
        <v>5</v>
      </c>
      <c r="D6" s="2">
        <v>4</v>
      </c>
      <c r="E6" s="2" t="s">
        <v>108</v>
      </c>
      <c r="G6" s="2">
        <v>5</v>
      </c>
      <c r="H6" s="2">
        <v>5</v>
      </c>
      <c r="I6" s="2">
        <v>5</v>
      </c>
      <c r="J6" s="2">
        <v>5</v>
      </c>
      <c r="K6" s="2">
        <v>5</v>
      </c>
      <c r="L6" s="2">
        <v>5</v>
      </c>
      <c r="M6" s="2">
        <v>5</v>
      </c>
      <c r="N6" s="2">
        <v>5</v>
      </c>
      <c r="O6" s="2">
        <v>4</v>
      </c>
      <c r="P6" s="2">
        <v>2</v>
      </c>
      <c r="Q6" s="2">
        <v>4</v>
      </c>
      <c r="R6" s="2">
        <v>4</v>
      </c>
      <c r="S6" s="2">
        <v>5</v>
      </c>
      <c r="T6" s="2">
        <v>5</v>
      </c>
      <c r="U6" s="2">
        <v>5</v>
      </c>
      <c r="V6" s="2">
        <v>5</v>
      </c>
      <c r="W6" s="2">
        <v>5</v>
      </c>
      <c r="X6" s="2">
        <v>5</v>
      </c>
      <c r="Y6" s="2">
        <v>5</v>
      </c>
      <c r="Z6" s="2">
        <v>5</v>
      </c>
      <c r="AA6" s="2" t="s">
        <v>111</v>
      </c>
      <c r="AF6">
        <v>2</v>
      </c>
      <c r="AG6" t="str">
        <f t="shared" ref="AG6:AG9" si="2">CHAR(67+AF6*4)</f>
        <v>K</v>
      </c>
      <c r="AH6" t="s">
        <v>118</v>
      </c>
      <c r="AI6">
        <f>G2</f>
        <v>4.05</v>
      </c>
    </row>
    <row r="7" spans="1:35" ht="22.5" customHeight="1" x14ac:dyDescent="0.4">
      <c r="A7" s="1">
        <v>46197.619040937498</v>
      </c>
      <c r="B7" s="2" t="s">
        <v>112</v>
      </c>
      <c r="C7" s="2">
        <v>5</v>
      </c>
      <c r="D7" s="2">
        <v>5</v>
      </c>
      <c r="E7" s="2" t="s">
        <v>108</v>
      </c>
      <c r="G7" s="2">
        <v>3</v>
      </c>
      <c r="H7" s="2">
        <v>3</v>
      </c>
      <c r="I7" s="2">
        <v>2</v>
      </c>
      <c r="J7" s="2">
        <v>3</v>
      </c>
      <c r="K7" s="2">
        <v>4</v>
      </c>
      <c r="L7" s="2">
        <v>2</v>
      </c>
      <c r="M7" s="2">
        <v>3</v>
      </c>
      <c r="N7" s="2">
        <v>3</v>
      </c>
      <c r="O7" s="2">
        <v>3</v>
      </c>
      <c r="P7" s="2">
        <v>3</v>
      </c>
      <c r="Q7" s="2">
        <v>3</v>
      </c>
      <c r="R7" s="2">
        <v>3</v>
      </c>
      <c r="S7" s="2">
        <v>3</v>
      </c>
      <c r="T7" s="2">
        <v>2</v>
      </c>
      <c r="U7" s="2">
        <v>3</v>
      </c>
      <c r="V7" s="2">
        <v>2</v>
      </c>
      <c r="W7" s="2">
        <v>3</v>
      </c>
      <c r="X7" s="2">
        <v>3</v>
      </c>
      <c r="Y7" s="2">
        <v>3</v>
      </c>
      <c r="Z7" s="2">
        <v>3</v>
      </c>
      <c r="AA7" s="2" t="s">
        <v>111</v>
      </c>
      <c r="AF7">
        <v>3</v>
      </c>
      <c r="AG7" t="str">
        <f t="shared" si="2"/>
        <v>O</v>
      </c>
      <c r="AH7" t="s">
        <v>119</v>
      </c>
      <c r="AI7" t="e">
        <f>#REF!</f>
        <v>#REF!</v>
      </c>
    </row>
    <row r="8" spans="1:35" ht="22.5" customHeight="1" x14ac:dyDescent="0.4">
      <c r="A8" s="1">
        <v>46198.52585366898</v>
      </c>
      <c r="B8" s="2" t="s">
        <v>113</v>
      </c>
      <c r="C8" s="2">
        <v>3</v>
      </c>
      <c r="D8" s="2">
        <v>4</v>
      </c>
      <c r="E8" s="2" t="s">
        <v>108</v>
      </c>
      <c r="G8" s="2">
        <v>3</v>
      </c>
      <c r="H8" s="2">
        <v>5</v>
      </c>
      <c r="I8" s="2">
        <v>5</v>
      </c>
      <c r="J8" s="2">
        <v>4</v>
      </c>
      <c r="K8" s="2">
        <v>3</v>
      </c>
      <c r="L8" s="2">
        <v>4</v>
      </c>
      <c r="M8" s="2">
        <v>4</v>
      </c>
      <c r="N8" s="2">
        <v>4</v>
      </c>
      <c r="O8" s="2">
        <v>4</v>
      </c>
      <c r="P8" s="2">
        <v>3</v>
      </c>
      <c r="Q8" s="2">
        <v>3</v>
      </c>
      <c r="R8" s="2">
        <v>4</v>
      </c>
      <c r="S8" s="2">
        <v>4</v>
      </c>
      <c r="T8" s="2">
        <v>2</v>
      </c>
      <c r="U8" s="2">
        <v>3</v>
      </c>
      <c r="V8" s="2">
        <v>3</v>
      </c>
      <c r="W8" s="2">
        <v>5</v>
      </c>
      <c r="X8" s="2">
        <v>5</v>
      </c>
      <c r="Y8" s="2">
        <v>5</v>
      </c>
      <c r="Z8" s="2">
        <v>5</v>
      </c>
      <c r="AA8" s="2" t="s">
        <v>114</v>
      </c>
      <c r="AF8">
        <v>4</v>
      </c>
      <c r="AG8" t="str">
        <f t="shared" si="2"/>
        <v>S</v>
      </c>
      <c r="AH8" t="s">
        <v>120</v>
      </c>
      <c r="AI8" t="e">
        <f>#REF!</f>
        <v>#REF!</v>
      </c>
    </row>
    <row r="9" spans="1:35" ht="22.5" customHeight="1" x14ac:dyDescent="0.4">
      <c r="A9" s="1">
        <v>46198.72461863426</v>
      </c>
      <c r="B9" s="2" t="s">
        <v>113</v>
      </c>
      <c r="C9" s="2">
        <v>4</v>
      </c>
      <c r="D9" s="2">
        <v>5</v>
      </c>
      <c r="E9" s="2" t="s">
        <v>108</v>
      </c>
      <c r="G9" s="2">
        <v>4</v>
      </c>
      <c r="H9" s="2">
        <v>4</v>
      </c>
      <c r="I9" s="2">
        <v>3</v>
      </c>
      <c r="J9" s="2">
        <v>4</v>
      </c>
      <c r="K9" s="2">
        <v>5</v>
      </c>
      <c r="L9" s="2">
        <v>4</v>
      </c>
      <c r="M9" s="2">
        <v>4</v>
      </c>
      <c r="N9" s="2">
        <v>3</v>
      </c>
      <c r="O9" s="2">
        <v>5</v>
      </c>
      <c r="P9" s="2">
        <v>5</v>
      </c>
      <c r="Q9" s="2">
        <v>5</v>
      </c>
      <c r="R9" s="2">
        <v>5</v>
      </c>
      <c r="S9" s="2">
        <v>4</v>
      </c>
      <c r="T9" s="2">
        <v>4</v>
      </c>
      <c r="U9" s="2">
        <v>4</v>
      </c>
      <c r="V9" s="2">
        <v>4</v>
      </c>
      <c r="W9" s="2">
        <v>3</v>
      </c>
      <c r="X9" s="2">
        <v>3</v>
      </c>
      <c r="Y9" s="2">
        <v>3</v>
      </c>
      <c r="Z9" s="2">
        <v>3</v>
      </c>
      <c r="AA9" s="2" t="s">
        <v>111</v>
      </c>
      <c r="AF9">
        <v>5</v>
      </c>
      <c r="AG9" t="str">
        <f t="shared" si="2"/>
        <v>W</v>
      </c>
      <c r="AH9" t="s">
        <v>121</v>
      </c>
      <c r="AI9" t="e">
        <f>#REF!</f>
        <v>#REF!</v>
      </c>
    </row>
    <row r="10" spans="1:35" ht="22.5" customHeight="1" x14ac:dyDescent="0.4">
      <c r="A10" s="1">
        <v>46200.888591238428</v>
      </c>
      <c r="B10" s="2" t="s">
        <v>113</v>
      </c>
      <c r="C10" s="2">
        <v>2</v>
      </c>
      <c r="D10" s="2">
        <v>3</v>
      </c>
      <c r="E10" s="2" t="s">
        <v>108</v>
      </c>
      <c r="F10" s="2" t="s">
        <v>115</v>
      </c>
      <c r="G10" s="2">
        <v>4</v>
      </c>
      <c r="H10" s="2">
        <v>4</v>
      </c>
      <c r="I10" s="2">
        <v>4</v>
      </c>
      <c r="J10" s="2">
        <v>4</v>
      </c>
      <c r="K10" s="2">
        <v>4</v>
      </c>
      <c r="L10" s="2">
        <v>4</v>
      </c>
      <c r="M10" s="2">
        <v>4</v>
      </c>
      <c r="N10" s="2">
        <v>4</v>
      </c>
      <c r="O10" s="2">
        <v>4</v>
      </c>
      <c r="P10" s="2">
        <v>3</v>
      </c>
      <c r="Q10" s="2">
        <v>4</v>
      </c>
      <c r="R10" s="2">
        <v>3</v>
      </c>
      <c r="S10" s="2">
        <v>4</v>
      </c>
      <c r="T10" s="2">
        <v>4</v>
      </c>
      <c r="U10" s="2">
        <v>4</v>
      </c>
      <c r="V10" s="2">
        <v>4</v>
      </c>
      <c r="W10" s="2">
        <v>4</v>
      </c>
      <c r="X10" s="2">
        <v>4</v>
      </c>
      <c r="Y10" s="2">
        <v>4</v>
      </c>
      <c r="Z10" s="2">
        <v>4</v>
      </c>
      <c r="AA10" s="2" t="s">
        <v>110</v>
      </c>
      <c r="AF10">
        <v>1</v>
      </c>
      <c r="AG10" t="str">
        <f>CHAR(61+AF10*4)</f>
        <v>A</v>
      </c>
      <c r="AH10" t="s">
        <v>122</v>
      </c>
      <c r="AI10" t="e">
        <f>#REF!</f>
        <v>#REF!</v>
      </c>
    </row>
    <row r="11" spans="1:35" ht="22.5" customHeight="1" x14ac:dyDescent="0.4">
      <c r="A11" s="1">
        <v>46201.966827789351</v>
      </c>
      <c r="B11" s="2" t="s">
        <v>107</v>
      </c>
      <c r="C11" s="2">
        <v>4</v>
      </c>
      <c r="D11" s="2">
        <v>4</v>
      </c>
      <c r="E11" s="2" t="s">
        <v>108</v>
      </c>
      <c r="F11" s="2" t="s">
        <v>116</v>
      </c>
      <c r="G11" s="2">
        <v>4</v>
      </c>
      <c r="H11" s="2">
        <v>4</v>
      </c>
      <c r="I11" s="2">
        <v>4</v>
      </c>
      <c r="J11" s="2">
        <v>4</v>
      </c>
      <c r="K11" s="2">
        <v>4</v>
      </c>
      <c r="L11" s="2">
        <v>4</v>
      </c>
      <c r="M11" s="2">
        <v>4</v>
      </c>
      <c r="N11" s="2">
        <v>4</v>
      </c>
      <c r="O11" s="2">
        <v>4</v>
      </c>
      <c r="P11" s="2">
        <v>4</v>
      </c>
      <c r="Q11" s="2">
        <v>4</v>
      </c>
      <c r="R11" s="2">
        <v>4</v>
      </c>
      <c r="S11" s="2">
        <v>4</v>
      </c>
      <c r="T11" s="2">
        <v>3</v>
      </c>
      <c r="U11" s="2">
        <v>4</v>
      </c>
      <c r="V11" s="2">
        <v>4</v>
      </c>
      <c r="W11" s="2">
        <v>4</v>
      </c>
      <c r="X11" s="2">
        <v>3</v>
      </c>
      <c r="Y11" s="2">
        <v>4</v>
      </c>
      <c r="Z11" s="2">
        <v>4</v>
      </c>
      <c r="AA11" s="2" t="s">
        <v>114</v>
      </c>
      <c r="AF11">
        <v>2</v>
      </c>
      <c r="AG11" t="str">
        <f t="shared" ref="AG11:AG15" si="3">CHAR(61+AF11*4)</f>
        <v>E</v>
      </c>
      <c r="AH11" t="s">
        <v>123</v>
      </c>
      <c r="AI11">
        <f>K2</f>
        <v>3.85</v>
      </c>
    </row>
    <row r="12" spans="1:35" ht="22.5" customHeight="1" x14ac:dyDescent="0.4">
      <c r="A12" s="1">
        <v>46202.463702719906</v>
      </c>
      <c r="B12" s="2" t="s">
        <v>112</v>
      </c>
      <c r="C12" s="2">
        <v>5</v>
      </c>
      <c r="D12" s="2">
        <v>5</v>
      </c>
      <c r="E12" s="2" t="s">
        <v>108</v>
      </c>
      <c r="G12" s="2">
        <v>5</v>
      </c>
      <c r="H12" s="2">
        <v>5</v>
      </c>
      <c r="I12" s="2">
        <v>5</v>
      </c>
      <c r="J12" s="2">
        <v>5</v>
      </c>
      <c r="K12" s="2">
        <v>4</v>
      </c>
      <c r="L12" s="2">
        <v>4</v>
      </c>
      <c r="M12" s="2">
        <v>4</v>
      </c>
      <c r="N12" s="2">
        <v>4</v>
      </c>
      <c r="O12" s="2">
        <v>5</v>
      </c>
      <c r="P12" s="2">
        <v>5</v>
      </c>
      <c r="Q12" s="2">
        <v>5</v>
      </c>
      <c r="R12" s="2">
        <v>5</v>
      </c>
      <c r="S12" s="2">
        <v>4</v>
      </c>
      <c r="T12" s="2">
        <v>4</v>
      </c>
      <c r="U12" s="2">
        <v>5</v>
      </c>
      <c r="V12" s="2">
        <v>5</v>
      </c>
      <c r="W12" s="2">
        <v>5</v>
      </c>
      <c r="X12" s="2">
        <v>3</v>
      </c>
      <c r="Y12" s="2">
        <v>5</v>
      </c>
      <c r="Z12" s="2">
        <v>5</v>
      </c>
      <c r="AA12" s="2" t="s">
        <v>114</v>
      </c>
      <c r="AF12">
        <v>3</v>
      </c>
      <c r="AG12" t="str">
        <f t="shared" si="3"/>
        <v>I</v>
      </c>
      <c r="AH12" t="s">
        <v>124</v>
      </c>
      <c r="AI12" t="e">
        <f>#REF!</f>
        <v>#REF!</v>
      </c>
    </row>
    <row r="13" spans="1:35" ht="22.5" customHeight="1" x14ac:dyDescent="0.4">
      <c r="A13" s="1">
        <v>46202.501892523149</v>
      </c>
      <c r="B13" s="2" t="s">
        <v>112</v>
      </c>
      <c r="C13" s="2">
        <v>1</v>
      </c>
      <c r="D13" s="2">
        <v>2</v>
      </c>
      <c r="E13" s="2" t="s">
        <v>108</v>
      </c>
      <c r="G13" s="2">
        <v>4</v>
      </c>
      <c r="H13" s="2">
        <v>4</v>
      </c>
      <c r="I13" s="2">
        <v>3</v>
      </c>
      <c r="J13" s="2">
        <v>4</v>
      </c>
      <c r="K13" s="2">
        <v>4</v>
      </c>
      <c r="L13" s="2">
        <v>3</v>
      </c>
      <c r="M13" s="2">
        <v>2</v>
      </c>
      <c r="N13" s="2">
        <v>3</v>
      </c>
      <c r="O13" s="2">
        <v>3</v>
      </c>
      <c r="P13" s="2">
        <v>3</v>
      </c>
      <c r="Q13" s="2">
        <v>3</v>
      </c>
      <c r="R13" s="2">
        <v>2</v>
      </c>
      <c r="S13" s="2">
        <v>2</v>
      </c>
      <c r="T13" s="2">
        <v>2</v>
      </c>
      <c r="U13" s="2">
        <v>2</v>
      </c>
      <c r="V13" s="2">
        <v>2</v>
      </c>
      <c r="W13" s="2">
        <v>5</v>
      </c>
      <c r="X13" s="2">
        <v>3</v>
      </c>
      <c r="Y13" s="2">
        <v>3</v>
      </c>
      <c r="Z13" s="2">
        <v>4</v>
      </c>
      <c r="AA13" s="2" t="s">
        <v>111</v>
      </c>
      <c r="AF13">
        <v>4</v>
      </c>
      <c r="AG13" t="str">
        <f t="shared" si="3"/>
        <v>M</v>
      </c>
      <c r="AH13" t="s">
        <v>125</v>
      </c>
    </row>
    <row r="14" spans="1:35" ht="22.5" customHeight="1" x14ac:dyDescent="0.4">
      <c r="A14" s="1">
        <v>46203.93839570602</v>
      </c>
      <c r="B14" s="2" t="s">
        <v>112</v>
      </c>
      <c r="C14" s="2">
        <v>4</v>
      </c>
      <c r="D14" s="2">
        <v>4</v>
      </c>
      <c r="E14" s="2" t="s">
        <v>108</v>
      </c>
      <c r="F14" s="2" t="s">
        <v>174</v>
      </c>
      <c r="G14" s="2">
        <v>5</v>
      </c>
      <c r="H14" s="2">
        <v>3</v>
      </c>
      <c r="I14" s="2">
        <v>3</v>
      </c>
      <c r="J14" s="2">
        <v>4</v>
      </c>
      <c r="K14" s="2">
        <v>5</v>
      </c>
      <c r="L14" s="2">
        <v>3</v>
      </c>
      <c r="M14" s="2">
        <v>4</v>
      </c>
      <c r="N14" s="2">
        <v>4</v>
      </c>
      <c r="O14" s="2">
        <v>5</v>
      </c>
      <c r="P14" s="2">
        <v>4</v>
      </c>
      <c r="Q14" s="2">
        <v>4</v>
      </c>
      <c r="R14" s="2">
        <v>5</v>
      </c>
      <c r="S14" s="2">
        <v>5</v>
      </c>
      <c r="T14" s="2">
        <v>3</v>
      </c>
      <c r="U14" s="2">
        <v>3</v>
      </c>
      <c r="V14" s="2">
        <v>4</v>
      </c>
      <c r="W14" s="2">
        <v>5</v>
      </c>
      <c r="X14" s="2">
        <v>3</v>
      </c>
      <c r="Y14" s="2">
        <v>4</v>
      </c>
      <c r="Z14" s="2">
        <v>5</v>
      </c>
      <c r="AA14" s="2" t="s">
        <v>114</v>
      </c>
    </row>
    <row r="15" spans="1:35" ht="15.75" customHeight="1" x14ac:dyDescent="0.4">
      <c r="AF15">
        <v>6</v>
      </c>
      <c r="AG15" t="str">
        <f t="shared" si="3"/>
        <v>U</v>
      </c>
      <c r="AH15" t="s">
        <v>127</v>
      </c>
    </row>
    <row r="16" spans="1:35" ht="15.75" customHeight="1" x14ac:dyDescent="0.4">
      <c r="AF16">
        <v>12</v>
      </c>
      <c r="AG16" t="str">
        <f t="shared" ref="AG16:AG21" si="4">CHAR(70+AF16)</f>
        <v>R</v>
      </c>
      <c r="AH16" t="s">
        <v>128</v>
      </c>
    </row>
    <row r="17" spans="1:34" ht="15.75" customHeight="1" x14ac:dyDescent="0.4">
      <c r="AF17">
        <v>13</v>
      </c>
      <c r="AG17" t="str">
        <f t="shared" si="4"/>
        <v>S</v>
      </c>
      <c r="AH17" t="s">
        <v>129</v>
      </c>
    </row>
    <row r="18" spans="1:34" ht="15.75" customHeight="1" x14ac:dyDescent="0.4">
      <c r="AF18">
        <v>14</v>
      </c>
      <c r="AG18" t="str">
        <f t="shared" si="4"/>
        <v>T</v>
      </c>
      <c r="AH18" t="s">
        <v>130</v>
      </c>
    </row>
    <row r="19" spans="1:34" ht="15.75" customHeight="1" x14ac:dyDescent="0.4">
      <c r="AF19">
        <v>15</v>
      </c>
      <c r="AG19" t="str">
        <f t="shared" si="4"/>
        <v>U</v>
      </c>
      <c r="AH19" t="s">
        <v>131</v>
      </c>
    </row>
    <row r="20" spans="1:34" ht="15.75" customHeight="1" x14ac:dyDescent="0.4">
      <c r="AF20">
        <v>16</v>
      </c>
      <c r="AG20" t="str">
        <f t="shared" si="4"/>
        <v>V</v>
      </c>
      <c r="AH20" t="s">
        <v>132</v>
      </c>
    </row>
    <row r="21" spans="1:34" ht="15.75" customHeight="1" x14ac:dyDescent="0.4">
      <c r="AF21">
        <v>17</v>
      </c>
      <c r="AG21" t="str">
        <f t="shared" si="4"/>
        <v>W</v>
      </c>
      <c r="AH21" t="s">
        <v>133</v>
      </c>
    </row>
    <row r="22" spans="1:34" ht="12.3" x14ac:dyDescent="0.4">
      <c r="G22">
        <f>((COLUMN()-7)*4)+7</f>
        <v>7</v>
      </c>
      <c r="H22">
        <f t="shared" ref="H22:K22" si="5">((COLUMN()-7)*4)+7</f>
        <v>11</v>
      </c>
      <c r="I22">
        <f t="shared" si="5"/>
        <v>15</v>
      </c>
      <c r="J22">
        <f t="shared" si="5"/>
        <v>19</v>
      </c>
      <c r="K22">
        <f t="shared" si="5"/>
        <v>23</v>
      </c>
    </row>
    <row r="23" spans="1:34" ht="12.3" x14ac:dyDescent="0.4">
      <c r="A23" s="6"/>
      <c r="E23" s="11" t="s">
        <v>145</v>
      </c>
      <c r="F23" s="11"/>
      <c r="G23" s="6" cm="1">
        <f t="array" ref="G23">INDEX($A:$CD,3,G$22)</f>
        <v>4.2</v>
      </c>
      <c r="H23" s="6" cm="1">
        <f t="array" ref="H23">INDEX($A:$CD,3,H$22)</f>
        <v>4</v>
      </c>
      <c r="I23" s="6" cm="1">
        <f t="array" ref="I23">INDEX($A:$CD,3,I$22)</f>
        <v>4.2</v>
      </c>
      <c r="J23" s="6" cm="1">
        <f t="array" ref="J23">INDEX($A:$CD,3,J$22)</f>
        <v>4</v>
      </c>
      <c r="K23" s="6" cm="1">
        <f t="array" ref="K23">INDEX($A:$CD,3,K$22)</f>
        <v>4.4000000000000004</v>
      </c>
      <c r="L23" s="6"/>
    </row>
    <row r="24" spans="1:34" ht="12.3" x14ac:dyDescent="0.4">
      <c r="E24" s="11" t="s">
        <v>146</v>
      </c>
      <c r="F24" s="11"/>
      <c r="G24" s="6" cm="1">
        <f t="array" ref="G24">INDEX($A:$CD,3,G$22+1)</f>
        <v>4.2</v>
      </c>
      <c r="H24" s="6" cm="1">
        <f t="array" ref="H24">INDEX($A:$CD,3,H$22+1)</f>
        <v>3.8</v>
      </c>
      <c r="I24" s="6" cm="1">
        <f t="array" ref="I24">INDEX($A:$CD,3,I$22+1)</f>
        <v>3.7</v>
      </c>
      <c r="J24" s="6" cm="1">
        <f t="array" ref="J24">INDEX($A:$CD,3,J$22+1)</f>
        <v>3.4</v>
      </c>
      <c r="K24" s="6" cm="1">
        <f t="array" ref="K24">INDEX($A:$CD,3,K$22+1)</f>
        <v>3.7</v>
      </c>
      <c r="L24" s="6"/>
    </row>
    <row r="25" spans="1:34" ht="12.3" x14ac:dyDescent="0.4">
      <c r="E25" s="11" t="s">
        <v>144</v>
      </c>
      <c r="F25" s="11"/>
      <c r="G25" cm="1">
        <f t="array" ref="G25">INDEX($A:$CD,3,G$22+2)</f>
        <v>3.7</v>
      </c>
      <c r="H25" cm="1">
        <f t="array" ref="H25">INDEX($A:$CD,3,H$22+2)</f>
        <v>3.9</v>
      </c>
      <c r="I25" cm="1">
        <f t="array" ref="I25">INDEX($A:$CD,3,I$22+2)</f>
        <v>4</v>
      </c>
      <c r="J25" cm="1">
        <f t="array" ref="J25">INDEX($A:$CD,3,J$22+2)</f>
        <v>3.8</v>
      </c>
      <c r="K25" cm="1">
        <f t="array" ref="K25">INDEX($A:$CD,3,K$22+2)</f>
        <v>4.0999999999999996</v>
      </c>
    </row>
    <row r="26" spans="1:34" ht="12.3" x14ac:dyDescent="0.4">
      <c r="E26" s="11" t="s">
        <v>143</v>
      </c>
      <c r="F26" s="11"/>
      <c r="G26" cm="1">
        <f t="array" ref="G26">INDEX($A:$CD,3,G$22+3)</f>
        <v>4.0999999999999996</v>
      </c>
      <c r="H26" cm="1">
        <f t="array" ref="H26">INDEX($A:$CD,3,H$22+3)</f>
        <v>3.7</v>
      </c>
      <c r="I26" cm="1">
        <f t="array" ref="I26">INDEX($A:$CD,3,I$22+3)</f>
        <v>4</v>
      </c>
      <c r="J26" cm="1">
        <f t="array" ref="J26">INDEX($A:$CD,3,J$22+3)</f>
        <v>3.8</v>
      </c>
      <c r="K26" cm="1">
        <f t="array" ref="K26">INDEX($A:$CD,3,K$22+3)</f>
        <v>4.3</v>
      </c>
    </row>
    <row r="27" spans="1:34" s="4" customFormat="1" ht="12.3" x14ac:dyDescent="0.4">
      <c r="E27" s="12" t="s">
        <v>147</v>
      </c>
      <c r="F27" s="12"/>
      <c r="G27" s="7">
        <f t="shared" ref="G27:K27" si="6">AVERAGE(G23:G26)</f>
        <v>4.0500000000000007</v>
      </c>
      <c r="H27" s="7">
        <f t="shared" si="6"/>
        <v>3.8499999999999996</v>
      </c>
      <c r="I27" s="7">
        <f t="shared" si="6"/>
        <v>3.9750000000000001</v>
      </c>
      <c r="J27" s="7">
        <f t="shared" si="6"/>
        <v>3.75</v>
      </c>
      <c r="K27" s="7">
        <f t="shared" si="6"/>
        <v>4.125</v>
      </c>
      <c r="L27" s="7"/>
    </row>
    <row r="28" spans="1:34" ht="12.3" x14ac:dyDescent="0.4">
      <c r="G28">
        <v>4</v>
      </c>
      <c r="H28">
        <v>5</v>
      </c>
      <c r="I28">
        <v>6</v>
      </c>
      <c r="J28">
        <v>7</v>
      </c>
      <c r="K28">
        <v>24</v>
      </c>
    </row>
    <row r="29" spans="1:34" ht="15.75" customHeight="1" x14ac:dyDescent="0.4">
      <c r="AF29">
        <v>25</v>
      </c>
      <c r="AG29" t="str">
        <f>CHAR(70+AF29)</f>
        <v>_</v>
      </c>
      <c r="AH29" t="s">
        <v>141</v>
      </c>
    </row>
    <row r="31" spans="1:34" ht="43.5" customHeight="1" x14ac:dyDescent="0.4">
      <c r="B31" s="8" t="str">
        <f>E23</f>
        <v xml:space="preserve"> Claridad técnica</v>
      </c>
      <c r="C31" s="8" t="str">
        <f>E24</f>
        <v>Nivel de dificultad adecuado</v>
      </c>
      <c r="D31" s="8" t="str">
        <f>E25</f>
        <v>Calidad de los distractores</v>
      </c>
      <c r="E31" s="8" t="str">
        <f>E26</f>
        <v>Validez pedagógica</v>
      </c>
      <c r="F31" s="8" t="s">
        <v>173</v>
      </c>
    </row>
    <row r="32" spans="1:34" ht="15.75" customHeight="1" x14ac:dyDescent="0.4">
      <c r="A32" t="s">
        <v>191</v>
      </c>
      <c r="B32" cm="1">
        <f t="array" ref="B32:B36">TRANSPOSE(G23:K23)</f>
        <v>4.2</v>
      </c>
      <c r="C32" cm="1">
        <f t="array" ref="C32:C36">TRANSPOSE(G24:K24)</f>
        <v>4.2</v>
      </c>
      <c r="D32" cm="1">
        <f t="array" ref="D32:D36">TRANSPOSE(G25:K25)</f>
        <v>3.7</v>
      </c>
      <c r="E32" cm="1">
        <f t="array" ref="E32:E36">TRANSPOSE(G26:K26)</f>
        <v>4.0999999999999996</v>
      </c>
      <c r="F32" cm="1">
        <f t="array" ref="F32:F36">TRANSPOSE(G27:K27)</f>
        <v>4.0500000000000007</v>
      </c>
    </row>
    <row r="33" spans="1:6" ht="15.75" customHeight="1" x14ac:dyDescent="0.4">
      <c r="A33" t="s">
        <v>192</v>
      </c>
      <c r="B33">
        <v>4</v>
      </c>
      <c r="C33">
        <v>3.8</v>
      </c>
      <c r="D33">
        <v>3.9</v>
      </c>
      <c r="E33">
        <v>3.7</v>
      </c>
      <c r="F33">
        <v>3.8499999999999996</v>
      </c>
    </row>
    <row r="34" spans="1:6" ht="15.75" customHeight="1" x14ac:dyDescent="0.4">
      <c r="A34" t="s">
        <v>193</v>
      </c>
      <c r="B34">
        <v>4.2</v>
      </c>
      <c r="C34">
        <v>3.7</v>
      </c>
      <c r="D34">
        <v>4</v>
      </c>
      <c r="E34">
        <v>4</v>
      </c>
      <c r="F34">
        <v>3.9750000000000001</v>
      </c>
    </row>
    <row r="35" spans="1:6" ht="15.75" customHeight="1" x14ac:dyDescent="0.4">
      <c r="A35" t="s">
        <v>194</v>
      </c>
      <c r="B35">
        <v>4</v>
      </c>
      <c r="C35">
        <v>3.4</v>
      </c>
      <c r="D35">
        <v>3.8</v>
      </c>
      <c r="E35">
        <v>3.8</v>
      </c>
      <c r="F35">
        <v>3.75</v>
      </c>
    </row>
    <row r="36" spans="1:6" ht="15.75" customHeight="1" x14ac:dyDescent="0.4">
      <c r="A36" t="s">
        <v>195</v>
      </c>
      <c r="B36">
        <v>4.4000000000000004</v>
      </c>
      <c r="C36">
        <v>3.7</v>
      </c>
      <c r="D36">
        <v>4.0999999999999996</v>
      </c>
      <c r="E36">
        <v>4.3</v>
      </c>
      <c r="F36">
        <v>4.125</v>
      </c>
    </row>
    <row r="37" spans="1:6" ht="15.75" customHeight="1" x14ac:dyDescent="0.4">
      <c r="A37" t="s">
        <v>173</v>
      </c>
      <c r="B37">
        <f t="shared" ref="B37:E37" si="7">AVERAGE(_xlfn.ANCHORARRAY(B32))</f>
        <v>4.1599999999999993</v>
      </c>
      <c r="C37">
        <f t="shared" si="7"/>
        <v>3.7600000000000002</v>
      </c>
      <c r="D37">
        <f t="shared" si="7"/>
        <v>3.9</v>
      </c>
      <c r="E37">
        <f t="shared" si="7"/>
        <v>3.9800000000000004</v>
      </c>
      <c r="F37" s="4">
        <f>AVERAGE(_xlfn.ANCHORARRAY(F32))</f>
        <v>3.95</v>
      </c>
    </row>
  </sheetData>
  <mergeCells count="15">
    <mergeCell ref="E25:F25"/>
    <mergeCell ref="E26:F26"/>
    <mergeCell ref="E27:F27"/>
    <mergeCell ref="W2:Z2"/>
    <mergeCell ref="E23:F23"/>
    <mergeCell ref="E24:F24"/>
    <mergeCell ref="S2:V2"/>
    <mergeCell ref="O2:R2"/>
    <mergeCell ref="G2:J2"/>
    <mergeCell ref="K2:N2"/>
    <mergeCell ref="W1:Z1"/>
    <mergeCell ref="O1:R1"/>
    <mergeCell ref="S1:V1"/>
    <mergeCell ref="K1:N1"/>
    <mergeCell ref="G1:J1"/>
  </mergeCells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7B4F49-FA94-4B41-935C-5867A5F2FF75}">
  <sheetPr>
    <outlinePr summaryBelow="0" summaryRight="0"/>
  </sheetPr>
  <dimension ref="A1:AG37"/>
  <sheetViews>
    <sheetView workbookViewId="0">
      <pane ySplit="4" topLeftCell="A21" activePane="bottomLeft" state="frozen"/>
      <selection pane="bottomLeft" activeCell="F37" sqref="F37"/>
    </sheetView>
  </sheetViews>
  <sheetFormatPr baseColWidth="10" defaultColWidth="12.609375" defaultRowHeight="15.75" customHeight="1" x14ac:dyDescent="0.4"/>
  <cols>
    <col min="1" max="6" width="10.609375" customWidth="1"/>
    <col min="7" max="26" width="7.609375" customWidth="1"/>
    <col min="27" max="33" width="18.88671875" customWidth="1"/>
    <col min="34" max="34" width="11" customWidth="1"/>
    <col min="35" max="58" width="5.609375" customWidth="1"/>
  </cols>
  <sheetData>
    <row r="1" spans="1:26" ht="15.75" customHeight="1" x14ac:dyDescent="0.4">
      <c r="G1" s="13" t="s">
        <v>120</v>
      </c>
      <c r="H1" s="13"/>
      <c r="I1" s="13"/>
      <c r="J1" s="13"/>
      <c r="K1" s="13" t="s">
        <v>124</v>
      </c>
      <c r="L1" s="13"/>
      <c r="M1" s="13"/>
      <c r="N1" s="13"/>
      <c r="O1" s="13" t="s">
        <v>128</v>
      </c>
      <c r="P1" s="13"/>
      <c r="Q1" s="13"/>
      <c r="R1" s="13"/>
      <c r="S1" s="13" t="s">
        <v>132</v>
      </c>
      <c r="T1" s="13"/>
      <c r="U1" s="13"/>
      <c r="V1" s="13"/>
      <c r="W1" s="13" t="s">
        <v>139</v>
      </c>
      <c r="X1" s="13"/>
      <c r="Y1" s="13"/>
      <c r="Z1" s="13"/>
    </row>
    <row r="2" spans="1:26" ht="15.75" customHeight="1" x14ac:dyDescent="0.4">
      <c r="F2" s="4">
        <f>ROUND(AVERAGE(G3:Z3),2)</f>
        <v>4.04</v>
      </c>
      <c r="G2" s="13">
        <f>ROUND(AVERAGE(G3:J3),2)</f>
        <v>4.2300000000000004</v>
      </c>
      <c r="H2" s="13"/>
      <c r="I2" s="13"/>
      <c r="J2" s="13"/>
      <c r="K2" s="13">
        <f>ROUND(AVERAGE(K3:N3),2)</f>
        <v>3.98</v>
      </c>
      <c r="L2" s="13"/>
      <c r="M2" s="13"/>
      <c r="N2" s="13"/>
      <c r="O2" s="13">
        <f>ROUND(AVERAGE(O3:R3),2)</f>
        <v>4.2</v>
      </c>
      <c r="P2" s="13"/>
      <c r="Q2" s="13"/>
      <c r="R2" s="13"/>
      <c r="S2" s="13">
        <f>ROUND(AVERAGE(S3:V3),2)</f>
        <v>3.63</v>
      </c>
      <c r="T2" s="13"/>
      <c r="U2" s="13"/>
      <c r="V2" s="13"/>
      <c r="W2" s="13">
        <f>ROUND(AVERAGE(W3:Z3),2)</f>
        <v>4.18</v>
      </c>
      <c r="X2" s="13"/>
      <c r="Y2" s="13"/>
      <c r="Z2" s="13"/>
    </row>
    <row r="3" spans="1:26" ht="15.75" customHeight="1" x14ac:dyDescent="0.4">
      <c r="C3">
        <f>ROUND(AVERAGE(C5:C30),2)</f>
        <v>3.8</v>
      </c>
      <c r="D3">
        <f>ROUND(AVERAGE(D5:D30),2)</f>
        <v>4.0999999999999996</v>
      </c>
      <c r="G3">
        <f t="shared" ref="G3:Z3" si="0">ROUND(AVERAGE(G5:G20),2)</f>
        <v>4.4000000000000004</v>
      </c>
      <c r="H3">
        <f t="shared" si="0"/>
        <v>4.0999999999999996</v>
      </c>
      <c r="I3">
        <f t="shared" si="0"/>
        <v>4.3</v>
      </c>
      <c r="J3">
        <f t="shared" si="0"/>
        <v>4.0999999999999996</v>
      </c>
      <c r="K3">
        <f t="shared" si="0"/>
        <v>4.2</v>
      </c>
      <c r="L3">
        <f t="shared" si="0"/>
        <v>3.7</v>
      </c>
      <c r="M3">
        <f t="shared" si="0"/>
        <v>3.8</v>
      </c>
      <c r="N3">
        <f t="shared" si="0"/>
        <v>4.2</v>
      </c>
      <c r="O3">
        <f t="shared" si="0"/>
        <v>4.3</v>
      </c>
      <c r="P3">
        <f t="shared" si="0"/>
        <v>4</v>
      </c>
      <c r="Q3">
        <f t="shared" si="0"/>
        <v>4.2</v>
      </c>
      <c r="R3">
        <f t="shared" si="0"/>
        <v>4.3</v>
      </c>
      <c r="S3">
        <f t="shared" si="0"/>
        <v>3.8</v>
      </c>
      <c r="T3">
        <f t="shared" si="0"/>
        <v>3.3</v>
      </c>
      <c r="U3">
        <f t="shared" si="0"/>
        <v>3.9</v>
      </c>
      <c r="V3">
        <f t="shared" si="0"/>
        <v>3.5</v>
      </c>
      <c r="W3">
        <f t="shared" si="0"/>
        <v>4.2</v>
      </c>
      <c r="X3">
        <f t="shared" si="0"/>
        <v>3.8</v>
      </c>
      <c r="Y3">
        <f t="shared" si="0"/>
        <v>4.3</v>
      </c>
      <c r="Z3">
        <f t="shared" si="0"/>
        <v>4.4000000000000004</v>
      </c>
    </row>
    <row r="4" spans="1:26" ht="22.5" customHeight="1" x14ac:dyDescent="0.4">
      <c r="A4" s="3" t="s">
        <v>0</v>
      </c>
      <c r="B4" s="3" t="s">
        <v>1</v>
      </c>
      <c r="C4" s="3" t="s">
        <v>2</v>
      </c>
      <c r="D4" s="3" t="s">
        <v>3</v>
      </c>
      <c r="E4" s="3" t="s">
        <v>8</v>
      </c>
      <c r="F4" s="3" t="s">
        <v>9</v>
      </c>
      <c r="G4" s="3" t="s">
        <v>18</v>
      </c>
      <c r="H4" s="3" t="s">
        <v>19</v>
      </c>
      <c r="I4" s="3" t="s">
        <v>20</v>
      </c>
      <c r="J4" s="3" t="s">
        <v>21</v>
      </c>
      <c r="K4" s="3" t="s">
        <v>34</v>
      </c>
      <c r="L4" s="3" t="s">
        <v>35</v>
      </c>
      <c r="M4" s="3" t="s">
        <v>36</v>
      </c>
      <c r="N4" s="3" t="s">
        <v>37</v>
      </c>
      <c r="O4" s="3" t="s">
        <v>50</v>
      </c>
      <c r="P4" s="3" t="s">
        <v>51</v>
      </c>
      <c r="Q4" s="3" t="s">
        <v>52</v>
      </c>
      <c r="R4" s="3" t="s">
        <v>53</v>
      </c>
      <c r="S4" s="3" t="s">
        <v>66</v>
      </c>
      <c r="T4" s="3" t="s">
        <v>67</v>
      </c>
      <c r="U4" s="3" t="s">
        <v>68</v>
      </c>
      <c r="V4" s="3" t="s">
        <v>69</v>
      </c>
      <c r="W4" s="3" t="s">
        <v>94</v>
      </c>
      <c r="X4" s="3" t="s">
        <v>95</v>
      </c>
      <c r="Y4" s="3" t="s">
        <v>96</v>
      </c>
      <c r="Z4" s="3" t="s">
        <v>97</v>
      </c>
    </row>
    <row r="5" spans="1:26" ht="22.5" customHeight="1" x14ac:dyDescent="0.4">
      <c r="A5" s="1">
        <v>46197.104298391205</v>
      </c>
      <c r="B5" s="2" t="s">
        <v>107</v>
      </c>
      <c r="C5" s="2">
        <v>5</v>
      </c>
      <c r="D5" s="2">
        <v>5</v>
      </c>
      <c r="E5" s="2" t="s">
        <v>108</v>
      </c>
      <c r="F5" s="2" t="s">
        <v>109</v>
      </c>
      <c r="G5" s="2">
        <v>5</v>
      </c>
      <c r="H5" s="2">
        <v>5</v>
      </c>
      <c r="I5" s="2">
        <v>5</v>
      </c>
      <c r="J5" s="2">
        <v>5</v>
      </c>
      <c r="K5" s="2">
        <v>5</v>
      </c>
      <c r="L5" s="2">
        <v>5</v>
      </c>
      <c r="M5" s="2">
        <v>5</v>
      </c>
      <c r="N5" s="2">
        <v>5</v>
      </c>
      <c r="O5" s="2">
        <v>5</v>
      </c>
      <c r="P5" s="2">
        <v>5</v>
      </c>
      <c r="Q5" s="2">
        <v>5</v>
      </c>
      <c r="R5" s="2">
        <v>5</v>
      </c>
      <c r="S5" s="2">
        <v>5</v>
      </c>
      <c r="T5" s="2">
        <v>4</v>
      </c>
      <c r="U5" s="2">
        <v>5</v>
      </c>
      <c r="V5" s="2">
        <v>4</v>
      </c>
      <c r="W5" s="2">
        <v>5</v>
      </c>
      <c r="X5" s="2">
        <v>5</v>
      </c>
      <c r="Y5" s="2">
        <v>5</v>
      </c>
      <c r="Z5" s="2">
        <v>5</v>
      </c>
    </row>
    <row r="6" spans="1:26" ht="22.5" customHeight="1" x14ac:dyDescent="0.4">
      <c r="A6" s="1">
        <v>46197.602006956018</v>
      </c>
      <c r="B6" s="2" t="s">
        <v>107</v>
      </c>
      <c r="C6" s="2">
        <v>5</v>
      </c>
      <c r="D6" s="2">
        <v>4</v>
      </c>
      <c r="E6" s="2" t="s">
        <v>108</v>
      </c>
      <c r="G6" s="2">
        <v>5</v>
      </c>
      <c r="H6" s="2">
        <v>5</v>
      </c>
      <c r="I6" s="2">
        <v>5</v>
      </c>
      <c r="J6" s="2">
        <v>5</v>
      </c>
      <c r="K6" s="2">
        <v>5</v>
      </c>
      <c r="L6" s="2">
        <v>2</v>
      </c>
      <c r="M6" s="2">
        <v>4</v>
      </c>
      <c r="N6" s="2">
        <v>4</v>
      </c>
      <c r="O6" s="2">
        <v>5</v>
      </c>
      <c r="P6" s="2">
        <v>5</v>
      </c>
      <c r="Q6" s="2">
        <v>5</v>
      </c>
      <c r="R6" s="2">
        <v>5</v>
      </c>
      <c r="S6" s="2">
        <v>5</v>
      </c>
      <c r="T6" s="2">
        <v>3</v>
      </c>
      <c r="U6" s="2">
        <v>5</v>
      </c>
      <c r="V6" s="2">
        <v>3</v>
      </c>
      <c r="W6" s="2">
        <v>5</v>
      </c>
      <c r="X6" s="2">
        <v>5</v>
      </c>
      <c r="Y6" s="2">
        <v>5</v>
      </c>
      <c r="Z6" s="2">
        <v>5</v>
      </c>
    </row>
    <row r="7" spans="1:26" ht="22.5" customHeight="1" x14ac:dyDescent="0.4">
      <c r="A7" s="1">
        <v>46197.619040937498</v>
      </c>
      <c r="B7" s="2" t="s">
        <v>112</v>
      </c>
      <c r="C7" s="2">
        <v>5</v>
      </c>
      <c r="D7" s="2">
        <v>5</v>
      </c>
      <c r="E7" s="2" t="s">
        <v>108</v>
      </c>
      <c r="G7" s="2">
        <v>3</v>
      </c>
      <c r="H7" s="2">
        <v>3</v>
      </c>
      <c r="I7" s="2">
        <v>2</v>
      </c>
      <c r="J7" s="2">
        <v>2</v>
      </c>
      <c r="K7" s="2">
        <v>3</v>
      </c>
      <c r="L7" s="2">
        <v>3</v>
      </c>
      <c r="M7" s="2">
        <v>3</v>
      </c>
      <c r="N7" s="2">
        <v>3</v>
      </c>
      <c r="O7" s="2">
        <v>3</v>
      </c>
      <c r="P7" s="2">
        <v>3</v>
      </c>
      <c r="Q7" s="2">
        <v>3</v>
      </c>
      <c r="R7" s="2">
        <v>3</v>
      </c>
      <c r="S7" s="2">
        <v>3</v>
      </c>
      <c r="T7" s="2">
        <v>3</v>
      </c>
      <c r="U7" s="2">
        <v>2</v>
      </c>
      <c r="V7" s="2">
        <v>3</v>
      </c>
      <c r="W7" s="2">
        <v>3</v>
      </c>
      <c r="X7" s="2">
        <v>3</v>
      </c>
      <c r="Y7" s="2">
        <v>3</v>
      </c>
      <c r="Z7" s="2">
        <v>3</v>
      </c>
    </row>
    <row r="8" spans="1:26" ht="22.5" customHeight="1" x14ac:dyDescent="0.4">
      <c r="A8" s="1">
        <v>46198.52585366898</v>
      </c>
      <c r="B8" s="2" t="s">
        <v>113</v>
      </c>
      <c r="C8" s="2">
        <v>3</v>
      </c>
      <c r="D8" s="2">
        <v>4</v>
      </c>
      <c r="E8" s="2" t="s">
        <v>108</v>
      </c>
      <c r="G8" s="2">
        <v>5</v>
      </c>
      <c r="H8" s="2">
        <v>4</v>
      </c>
      <c r="I8" s="2">
        <v>5</v>
      </c>
      <c r="J8" s="2">
        <v>5</v>
      </c>
      <c r="K8" s="2">
        <v>4</v>
      </c>
      <c r="L8" s="2">
        <v>4</v>
      </c>
      <c r="M8" s="2">
        <v>3</v>
      </c>
      <c r="N8" s="2">
        <v>5</v>
      </c>
      <c r="O8" s="2">
        <v>5</v>
      </c>
      <c r="P8" s="2">
        <v>4</v>
      </c>
      <c r="Q8" s="2">
        <v>5</v>
      </c>
      <c r="R8" s="2">
        <v>5</v>
      </c>
      <c r="S8" s="2">
        <v>3</v>
      </c>
      <c r="T8" s="2">
        <v>2</v>
      </c>
      <c r="U8" s="2">
        <v>4</v>
      </c>
      <c r="V8" s="2">
        <v>4</v>
      </c>
      <c r="W8" s="2">
        <v>3</v>
      </c>
      <c r="X8" s="2">
        <v>2</v>
      </c>
      <c r="Y8" s="2">
        <v>4</v>
      </c>
      <c r="Z8" s="2">
        <v>4</v>
      </c>
    </row>
    <row r="9" spans="1:26" ht="22.5" customHeight="1" x14ac:dyDescent="0.4">
      <c r="A9" s="1">
        <v>46198.72461863426</v>
      </c>
      <c r="B9" s="2" t="s">
        <v>113</v>
      </c>
      <c r="C9" s="2">
        <v>4</v>
      </c>
      <c r="D9" s="2">
        <v>5</v>
      </c>
      <c r="E9" s="2" t="s">
        <v>108</v>
      </c>
      <c r="G9" s="2">
        <v>3</v>
      </c>
      <c r="H9" s="2">
        <v>3</v>
      </c>
      <c r="I9" s="2">
        <v>3</v>
      </c>
      <c r="J9" s="2">
        <v>3</v>
      </c>
      <c r="K9" s="2">
        <v>4</v>
      </c>
      <c r="L9" s="2">
        <v>4</v>
      </c>
      <c r="M9" s="2">
        <v>4</v>
      </c>
      <c r="N9" s="2">
        <v>4</v>
      </c>
      <c r="O9" s="2">
        <v>3</v>
      </c>
      <c r="P9" s="2">
        <v>3</v>
      </c>
      <c r="Q9" s="2">
        <v>3</v>
      </c>
      <c r="R9" s="2">
        <v>3</v>
      </c>
      <c r="S9" s="2">
        <v>3</v>
      </c>
      <c r="T9" s="2">
        <v>3</v>
      </c>
      <c r="U9" s="2">
        <v>3</v>
      </c>
      <c r="V9" s="2">
        <v>3</v>
      </c>
      <c r="W9" s="2">
        <v>4</v>
      </c>
      <c r="X9" s="2">
        <v>4</v>
      </c>
      <c r="Y9" s="2">
        <v>4</v>
      </c>
      <c r="Z9" s="2">
        <v>4</v>
      </c>
    </row>
    <row r="10" spans="1:26" ht="22.5" customHeight="1" x14ac:dyDescent="0.4">
      <c r="A10" s="1">
        <v>46200.888591238428</v>
      </c>
      <c r="B10" s="2" t="s">
        <v>113</v>
      </c>
      <c r="C10" s="2">
        <v>2</v>
      </c>
      <c r="D10" s="2">
        <v>3</v>
      </c>
      <c r="E10" s="2" t="s">
        <v>108</v>
      </c>
      <c r="F10" s="2" t="s">
        <v>115</v>
      </c>
      <c r="G10" s="2">
        <v>4</v>
      </c>
      <c r="H10" s="2">
        <v>4</v>
      </c>
      <c r="I10" s="2">
        <v>4</v>
      </c>
      <c r="J10" s="2">
        <v>4</v>
      </c>
      <c r="K10" s="2">
        <v>4</v>
      </c>
      <c r="L10" s="2">
        <v>4</v>
      </c>
      <c r="M10" s="2">
        <v>4</v>
      </c>
      <c r="N10" s="2">
        <v>4</v>
      </c>
      <c r="O10" s="2">
        <v>4</v>
      </c>
      <c r="P10" s="2">
        <v>4</v>
      </c>
      <c r="Q10" s="2">
        <v>4</v>
      </c>
      <c r="R10" s="2">
        <v>4</v>
      </c>
      <c r="S10" s="2">
        <v>3</v>
      </c>
      <c r="T10" s="2">
        <v>3</v>
      </c>
      <c r="U10" s="2">
        <v>3</v>
      </c>
      <c r="V10" s="2">
        <v>3</v>
      </c>
      <c r="W10" s="2">
        <v>4</v>
      </c>
      <c r="X10" s="2">
        <v>4</v>
      </c>
      <c r="Y10" s="2">
        <v>4</v>
      </c>
      <c r="Z10" s="2">
        <v>4</v>
      </c>
    </row>
    <row r="11" spans="1:26" ht="22.5" customHeight="1" x14ac:dyDescent="0.4">
      <c r="A11" s="1">
        <v>46201.966827789351</v>
      </c>
      <c r="B11" s="2" t="s">
        <v>107</v>
      </c>
      <c r="C11" s="2">
        <v>4</v>
      </c>
      <c r="D11" s="2">
        <v>4</v>
      </c>
      <c r="E11" s="2" t="s">
        <v>108</v>
      </c>
      <c r="F11" s="2" t="s">
        <v>116</v>
      </c>
      <c r="G11" s="2">
        <v>4</v>
      </c>
      <c r="H11" s="2">
        <v>4</v>
      </c>
      <c r="I11" s="2">
        <v>4</v>
      </c>
      <c r="J11" s="2">
        <v>4</v>
      </c>
      <c r="K11" s="2">
        <v>4</v>
      </c>
      <c r="L11" s="2">
        <v>4</v>
      </c>
      <c r="M11" s="2">
        <v>4</v>
      </c>
      <c r="N11" s="2">
        <v>4</v>
      </c>
      <c r="O11" s="2">
        <v>4</v>
      </c>
      <c r="P11" s="2">
        <v>4</v>
      </c>
      <c r="Q11" s="2">
        <v>4</v>
      </c>
      <c r="R11" s="2">
        <v>4</v>
      </c>
      <c r="S11" s="2">
        <v>4</v>
      </c>
      <c r="T11" s="2">
        <v>4</v>
      </c>
      <c r="U11" s="2">
        <v>4</v>
      </c>
      <c r="V11" s="2">
        <v>4</v>
      </c>
      <c r="W11" s="2">
        <v>4</v>
      </c>
      <c r="X11" s="2">
        <v>3</v>
      </c>
      <c r="Y11" s="2">
        <v>4</v>
      </c>
      <c r="Z11" s="2">
        <v>4</v>
      </c>
    </row>
    <row r="12" spans="1:26" ht="22.5" customHeight="1" x14ac:dyDescent="0.4">
      <c r="A12" s="1">
        <v>46202.463702719906</v>
      </c>
      <c r="B12" s="2" t="s">
        <v>112</v>
      </c>
      <c r="C12" s="2">
        <v>5</v>
      </c>
      <c r="D12" s="2">
        <v>5</v>
      </c>
      <c r="E12" s="2" t="s">
        <v>108</v>
      </c>
      <c r="G12" s="2">
        <v>5</v>
      </c>
      <c r="H12" s="2">
        <v>5</v>
      </c>
      <c r="I12" s="2">
        <v>5</v>
      </c>
      <c r="J12" s="2">
        <v>5</v>
      </c>
      <c r="K12" s="2">
        <v>4</v>
      </c>
      <c r="L12" s="2">
        <v>4</v>
      </c>
      <c r="M12" s="2">
        <v>4</v>
      </c>
      <c r="N12" s="2">
        <v>4</v>
      </c>
      <c r="O12" s="2">
        <v>4</v>
      </c>
      <c r="P12" s="2">
        <v>3</v>
      </c>
      <c r="Q12" s="2">
        <v>5</v>
      </c>
      <c r="R12" s="2">
        <v>5</v>
      </c>
      <c r="S12" s="2">
        <v>4</v>
      </c>
      <c r="T12" s="2">
        <v>5</v>
      </c>
      <c r="U12" s="2">
        <v>5</v>
      </c>
      <c r="V12" s="2">
        <v>4</v>
      </c>
      <c r="W12" s="2">
        <v>4</v>
      </c>
      <c r="X12" s="2">
        <v>5</v>
      </c>
      <c r="Y12" s="2">
        <v>5</v>
      </c>
      <c r="Z12" s="2">
        <v>5</v>
      </c>
    </row>
    <row r="13" spans="1:26" ht="22.5" customHeight="1" x14ac:dyDescent="0.4">
      <c r="A13" s="1">
        <v>46202.501892523149</v>
      </c>
      <c r="B13" s="2" t="s">
        <v>112</v>
      </c>
      <c r="C13" s="2">
        <v>1</v>
      </c>
      <c r="D13" s="2">
        <v>2</v>
      </c>
      <c r="E13" s="2" t="s">
        <v>108</v>
      </c>
      <c r="G13" s="2">
        <v>5</v>
      </c>
      <c r="H13" s="2">
        <v>5</v>
      </c>
      <c r="I13" s="2">
        <v>5</v>
      </c>
      <c r="J13" s="2">
        <v>3</v>
      </c>
      <c r="K13" s="2">
        <v>4</v>
      </c>
      <c r="L13" s="2">
        <v>4</v>
      </c>
      <c r="M13" s="2">
        <v>3</v>
      </c>
      <c r="N13" s="2">
        <v>4</v>
      </c>
      <c r="O13" s="2">
        <v>5</v>
      </c>
      <c r="P13" s="2">
        <v>5</v>
      </c>
      <c r="Q13" s="2">
        <v>4</v>
      </c>
      <c r="R13" s="2">
        <v>4</v>
      </c>
      <c r="S13" s="2">
        <v>3</v>
      </c>
      <c r="T13" s="2">
        <v>2</v>
      </c>
      <c r="U13" s="2">
        <v>3</v>
      </c>
      <c r="V13" s="2">
        <v>2</v>
      </c>
      <c r="W13" s="2">
        <v>5</v>
      </c>
      <c r="X13" s="2">
        <v>4</v>
      </c>
      <c r="Y13" s="2">
        <v>5</v>
      </c>
      <c r="Z13" s="2">
        <v>5</v>
      </c>
    </row>
    <row r="14" spans="1:26" ht="22.5" customHeight="1" x14ac:dyDescent="0.4">
      <c r="A14" s="1">
        <v>46203.93839570602</v>
      </c>
      <c r="B14" s="2" t="s">
        <v>112</v>
      </c>
      <c r="C14" s="2">
        <v>4</v>
      </c>
      <c r="D14" s="2">
        <v>4</v>
      </c>
      <c r="E14" s="2" t="s">
        <v>108</v>
      </c>
      <c r="F14" s="2" t="s">
        <v>174</v>
      </c>
      <c r="G14" s="2">
        <v>5</v>
      </c>
      <c r="H14" s="2">
        <v>3</v>
      </c>
      <c r="I14" s="2">
        <v>5</v>
      </c>
      <c r="J14" s="2">
        <v>5</v>
      </c>
      <c r="K14" s="2">
        <v>5</v>
      </c>
      <c r="L14" s="2">
        <v>3</v>
      </c>
      <c r="M14" s="2">
        <v>4</v>
      </c>
      <c r="N14" s="2">
        <v>5</v>
      </c>
      <c r="O14" s="2">
        <v>5</v>
      </c>
      <c r="P14" s="2">
        <v>4</v>
      </c>
      <c r="Q14" s="2">
        <v>4</v>
      </c>
      <c r="R14" s="2">
        <v>5</v>
      </c>
      <c r="S14" s="2">
        <v>5</v>
      </c>
      <c r="T14" s="2">
        <v>4</v>
      </c>
      <c r="U14" s="2">
        <v>5</v>
      </c>
      <c r="V14" s="2">
        <v>5</v>
      </c>
      <c r="W14" s="2">
        <v>5</v>
      </c>
      <c r="X14" s="2">
        <v>3</v>
      </c>
      <c r="Y14" s="2">
        <v>4</v>
      </c>
      <c r="Z14" s="2">
        <v>5</v>
      </c>
    </row>
    <row r="22" spans="1:33" ht="12.3" x14ac:dyDescent="0.4">
      <c r="G22">
        <f>((COLUMN()-7)*4)+7</f>
        <v>7</v>
      </c>
      <c r="H22">
        <f t="shared" ref="H22:K22" si="1">((COLUMN()-7)*4)+7</f>
        <v>11</v>
      </c>
      <c r="I22">
        <f t="shared" si="1"/>
        <v>15</v>
      </c>
      <c r="J22">
        <f t="shared" si="1"/>
        <v>19</v>
      </c>
      <c r="K22">
        <f t="shared" si="1"/>
        <v>23</v>
      </c>
    </row>
    <row r="23" spans="1:33" ht="12.3" x14ac:dyDescent="0.4">
      <c r="A23" s="6"/>
      <c r="E23" s="11" t="s">
        <v>145</v>
      </c>
      <c r="F23" s="11"/>
      <c r="G23" s="6" cm="1">
        <f t="array" ref="G23">INDEX($A:$EW,3,G$22)</f>
        <v>4.4000000000000004</v>
      </c>
      <c r="H23" s="6" cm="1">
        <f t="array" ref="H23">INDEX($A:$EW,3,H$22)</f>
        <v>4.2</v>
      </c>
      <c r="I23" s="6" cm="1">
        <f t="array" ref="I23">INDEX($A:$EW,3,I$22)</f>
        <v>4.3</v>
      </c>
      <c r="J23" s="6" cm="1">
        <f t="array" ref="J23">INDEX($A:$EW,3,J$22)</f>
        <v>3.8</v>
      </c>
      <c r="K23" s="6" cm="1">
        <f t="array" ref="K23">INDEX($A:$CC,3,K$22)</f>
        <v>4.2</v>
      </c>
      <c r="L23" s="6"/>
    </row>
    <row r="24" spans="1:33" ht="12.3" x14ac:dyDescent="0.4">
      <c r="E24" s="11" t="s">
        <v>146</v>
      </c>
      <c r="F24" s="11"/>
      <c r="G24" s="6" cm="1">
        <f t="array" ref="G24">INDEX($A:$EW,3,G$22+1)</f>
        <v>4.0999999999999996</v>
      </c>
      <c r="H24" s="6" cm="1">
        <f t="array" ref="H24">INDEX($A:$EW,3,H$22+1)</f>
        <v>3.7</v>
      </c>
      <c r="I24" s="6" cm="1">
        <f t="array" ref="I24">INDEX($A:$EW,3,I$22+1)</f>
        <v>4</v>
      </c>
      <c r="J24" s="6" cm="1">
        <f t="array" ref="J24">INDEX($A:$EW,3,J$22+1)</f>
        <v>3.3</v>
      </c>
      <c r="K24" s="6" cm="1">
        <f t="array" ref="K24">INDEX($A:$CC,3,K$22+1)</f>
        <v>3.8</v>
      </c>
      <c r="L24" s="6"/>
    </row>
    <row r="25" spans="1:33" ht="12.3" x14ac:dyDescent="0.4">
      <c r="E25" s="11" t="s">
        <v>144</v>
      </c>
      <c r="F25" s="11"/>
      <c r="G25" cm="1">
        <f t="array" ref="G25">INDEX($A:$EW,3,G$22+2)</f>
        <v>4.3</v>
      </c>
      <c r="H25" cm="1">
        <f t="array" ref="H25">INDEX($A:$EW,3,H$22+2)</f>
        <v>3.8</v>
      </c>
      <c r="I25" cm="1">
        <f t="array" ref="I25">INDEX($A:$EW,3,I$22+2)</f>
        <v>4.2</v>
      </c>
      <c r="J25" cm="1">
        <f t="array" ref="J25">INDEX($A:$EW,3,J$22+2)</f>
        <v>3.9</v>
      </c>
      <c r="K25" cm="1">
        <f t="array" ref="K25">INDEX($A:$CC,3,K$22+2)</f>
        <v>4.3</v>
      </c>
    </row>
    <row r="26" spans="1:33" ht="12.3" x14ac:dyDescent="0.4">
      <c r="E26" s="11" t="s">
        <v>143</v>
      </c>
      <c r="F26" s="11"/>
      <c r="G26" cm="1">
        <f t="array" ref="G26">INDEX($A:$EW,3,G$22+3)</f>
        <v>4.0999999999999996</v>
      </c>
      <c r="H26" cm="1">
        <f t="array" ref="H26">INDEX($A:$EW,3,H$22+3)</f>
        <v>4.2</v>
      </c>
      <c r="I26" cm="1">
        <f t="array" ref="I26">INDEX($A:$EW,3,I$22+3)</f>
        <v>4.3</v>
      </c>
      <c r="J26" cm="1">
        <f t="array" ref="J26">INDEX($A:$EW,3,J$22+3)</f>
        <v>3.5</v>
      </c>
      <c r="K26" cm="1">
        <f t="array" ref="K26">INDEX($A:$CC,3,K$22+3)</f>
        <v>4.4000000000000004</v>
      </c>
    </row>
    <row r="27" spans="1:33" s="4" customFormat="1" ht="12.3" x14ac:dyDescent="0.4">
      <c r="E27" s="12" t="s">
        <v>147</v>
      </c>
      <c r="F27" s="12"/>
      <c r="G27" s="7">
        <f t="shared" ref="G27:J27" si="2">AVERAGE(G23:G26)</f>
        <v>4.2249999999999996</v>
      </c>
      <c r="H27" s="7">
        <f t="shared" si="2"/>
        <v>3.9749999999999996</v>
      </c>
      <c r="I27" s="7">
        <f t="shared" si="2"/>
        <v>4.2</v>
      </c>
      <c r="J27" s="7">
        <f t="shared" si="2"/>
        <v>3.625</v>
      </c>
      <c r="K27" s="7">
        <f t="shared" ref="K27" si="3">AVERAGE(K23:K26)</f>
        <v>4.1750000000000007</v>
      </c>
      <c r="L27" s="7"/>
    </row>
    <row r="28" spans="1:33" ht="12.3" x14ac:dyDescent="0.4">
      <c r="G28">
        <v>12</v>
      </c>
      <c r="H28">
        <v>13</v>
      </c>
      <c r="I28">
        <v>14</v>
      </c>
      <c r="J28">
        <v>15</v>
      </c>
      <c r="K28">
        <v>24</v>
      </c>
    </row>
    <row r="29" spans="1:33" ht="15.75" customHeight="1" x14ac:dyDescent="0.4">
      <c r="AE29">
        <v>25</v>
      </c>
      <c r="AF29" t="str">
        <f>CHAR(70+AE29)</f>
        <v>_</v>
      </c>
      <c r="AG29" t="s">
        <v>141</v>
      </c>
    </row>
    <row r="31" spans="1:33" ht="43.5" customHeight="1" x14ac:dyDescent="0.4">
      <c r="B31" s="8" t="str">
        <f>E23</f>
        <v xml:space="preserve"> Claridad técnica</v>
      </c>
      <c r="C31" s="8" t="str">
        <f>E24</f>
        <v>Nivel de dificultad adecuado</v>
      </c>
      <c r="D31" s="8" t="str">
        <f>E25</f>
        <v>Calidad de los distractores</v>
      </c>
      <c r="E31" s="8" t="str">
        <f>E26</f>
        <v>Validez pedagógica</v>
      </c>
      <c r="F31" s="8" t="s">
        <v>173</v>
      </c>
    </row>
    <row r="32" spans="1:33" ht="15.75" customHeight="1" x14ac:dyDescent="0.4">
      <c r="A32" t="s">
        <v>191</v>
      </c>
      <c r="B32" cm="1">
        <f t="array" ref="B32:B36">TRANSPOSE(G23:K23)</f>
        <v>4.4000000000000004</v>
      </c>
      <c r="C32" cm="1">
        <f t="array" ref="C32:C36">TRANSPOSE(G24:K24)</f>
        <v>4.0999999999999996</v>
      </c>
      <c r="D32" cm="1">
        <f t="array" ref="D32:D36">TRANSPOSE(G25:K25)</f>
        <v>4.3</v>
      </c>
      <c r="E32" cm="1">
        <f t="array" ref="E32:E36">TRANSPOSE(G26:K26)</f>
        <v>4.0999999999999996</v>
      </c>
      <c r="F32" cm="1">
        <f t="array" ref="F32:F36">TRANSPOSE(G27:K27)</f>
        <v>4.2249999999999996</v>
      </c>
    </row>
    <row r="33" spans="1:6" ht="15.75" customHeight="1" x14ac:dyDescent="0.4">
      <c r="A33" t="s">
        <v>192</v>
      </c>
      <c r="B33">
        <v>4.2</v>
      </c>
      <c r="C33">
        <v>3.7</v>
      </c>
      <c r="D33">
        <v>3.8</v>
      </c>
      <c r="E33">
        <v>4.2</v>
      </c>
      <c r="F33">
        <v>3.9749999999999996</v>
      </c>
    </row>
    <row r="34" spans="1:6" ht="15.75" customHeight="1" x14ac:dyDescent="0.4">
      <c r="A34" t="s">
        <v>193</v>
      </c>
      <c r="B34">
        <v>4.3</v>
      </c>
      <c r="C34">
        <v>4</v>
      </c>
      <c r="D34">
        <v>4.2</v>
      </c>
      <c r="E34">
        <v>4.3</v>
      </c>
      <c r="F34">
        <v>4.2</v>
      </c>
    </row>
    <row r="35" spans="1:6" ht="15.75" customHeight="1" x14ac:dyDescent="0.4">
      <c r="A35" t="s">
        <v>194</v>
      </c>
      <c r="B35">
        <v>3.8</v>
      </c>
      <c r="C35">
        <v>3.3</v>
      </c>
      <c r="D35">
        <v>3.9</v>
      </c>
      <c r="E35">
        <v>3.5</v>
      </c>
      <c r="F35">
        <v>3.625</v>
      </c>
    </row>
    <row r="36" spans="1:6" ht="15.75" customHeight="1" x14ac:dyDescent="0.4">
      <c r="A36" t="s">
        <v>195</v>
      </c>
      <c r="B36">
        <v>4.2</v>
      </c>
      <c r="C36">
        <v>3.8</v>
      </c>
      <c r="D36">
        <v>4.3</v>
      </c>
      <c r="E36">
        <v>4.4000000000000004</v>
      </c>
      <c r="F36">
        <v>4.1750000000000007</v>
      </c>
    </row>
    <row r="37" spans="1:6" ht="15.75" customHeight="1" x14ac:dyDescent="0.4">
      <c r="A37" t="s">
        <v>173</v>
      </c>
      <c r="B37">
        <f t="shared" ref="B37:E37" si="4">AVERAGE(_xlfn.ANCHORARRAY(B32))</f>
        <v>4.1800000000000006</v>
      </c>
      <c r="C37">
        <f t="shared" si="4"/>
        <v>3.7800000000000002</v>
      </c>
      <c r="D37">
        <f t="shared" si="4"/>
        <v>4.0999999999999996</v>
      </c>
      <c r="E37">
        <f t="shared" si="4"/>
        <v>4.0999999999999996</v>
      </c>
      <c r="F37" s="4">
        <f>AVERAGE(_xlfn.ANCHORARRAY(F32))</f>
        <v>4.04</v>
      </c>
    </row>
  </sheetData>
  <mergeCells count="15">
    <mergeCell ref="E23:F23"/>
    <mergeCell ref="E24:F24"/>
    <mergeCell ref="E25:F25"/>
    <mergeCell ref="E26:F26"/>
    <mergeCell ref="E27:F27"/>
    <mergeCell ref="G2:J2"/>
    <mergeCell ref="K2:N2"/>
    <mergeCell ref="O2:R2"/>
    <mergeCell ref="S2:V2"/>
    <mergeCell ref="W2:Z2"/>
    <mergeCell ref="G1:J1"/>
    <mergeCell ref="K1:N1"/>
    <mergeCell ref="O1:R1"/>
    <mergeCell ref="S1:V1"/>
    <mergeCell ref="W1:Z1"/>
  </mergeCells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FC26D-47A8-456E-B1AB-B56FCD01FB65}">
  <sheetPr>
    <outlinePr summaryBelow="0" summaryRight="0"/>
  </sheetPr>
  <dimension ref="A1:AG37"/>
  <sheetViews>
    <sheetView workbookViewId="0">
      <pane ySplit="4" topLeftCell="A18" activePane="bottomLeft" state="frozen"/>
      <selection pane="bottomLeft" activeCell="G41" sqref="G41"/>
    </sheetView>
  </sheetViews>
  <sheetFormatPr baseColWidth="10" defaultColWidth="12.609375" defaultRowHeight="15.75" customHeight="1" x14ac:dyDescent="0.4"/>
  <cols>
    <col min="1" max="6" width="10.609375" customWidth="1"/>
    <col min="7" max="26" width="7.609375" customWidth="1"/>
    <col min="27" max="33" width="18.88671875" customWidth="1"/>
    <col min="34" max="34" width="11" customWidth="1"/>
    <col min="35" max="58" width="5.609375" customWidth="1"/>
  </cols>
  <sheetData>
    <row r="1" spans="1:26" ht="15.75" customHeight="1" x14ac:dyDescent="0.4">
      <c r="G1" s="13" t="s">
        <v>117</v>
      </c>
      <c r="H1" s="13"/>
      <c r="I1" s="13"/>
      <c r="J1" s="13"/>
      <c r="K1" s="13" t="s">
        <v>126</v>
      </c>
      <c r="L1" s="13"/>
      <c r="M1" s="13"/>
      <c r="N1" s="13"/>
      <c r="O1" s="13" t="s">
        <v>130</v>
      </c>
      <c r="P1" s="13"/>
      <c r="Q1" s="13"/>
      <c r="R1" s="13"/>
      <c r="S1" s="13" t="s">
        <v>135</v>
      </c>
      <c r="T1" s="13"/>
      <c r="U1" s="13"/>
      <c r="V1" s="13"/>
      <c r="W1" s="13" t="s">
        <v>141</v>
      </c>
      <c r="X1" s="13"/>
      <c r="Y1" s="13"/>
      <c r="Z1" s="13"/>
    </row>
    <row r="2" spans="1:26" ht="15.75" customHeight="1" x14ac:dyDescent="0.4">
      <c r="F2" s="4">
        <f>ROUND(AVERAGE(G3:Z3),2)</f>
        <v>3.81</v>
      </c>
      <c r="G2" s="13">
        <f>ROUND(AVERAGE(G3:J3),2)</f>
        <v>3.53</v>
      </c>
      <c r="H2" s="13"/>
      <c r="I2" s="13"/>
      <c r="J2" s="13"/>
      <c r="K2" s="13">
        <f>ROUND(AVERAGE(K3:N3),2)</f>
        <v>4.28</v>
      </c>
      <c r="L2" s="13"/>
      <c r="M2" s="13"/>
      <c r="N2" s="13"/>
      <c r="O2" s="13">
        <f>ROUND(AVERAGE(O3:R3),2)</f>
        <v>3.7</v>
      </c>
      <c r="P2" s="13"/>
      <c r="Q2" s="13"/>
      <c r="R2" s="13"/>
      <c r="S2" s="13">
        <f>ROUND(AVERAGE(S3:V3),2)</f>
        <v>3.6</v>
      </c>
      <c r="T2" s="13"/>
      <c r="U2" s="13"/>
      <c r="V2" s="13"/>
      <c r="W2" s="13">
        <f>ROUND(AVERAGE(W3:Z3),2)</f>
        <v>3.93</v>
      </c>
      <c r="X2" s="13"/>
      <c r="Y2" s="13"/>
      <c r="Z2" s="13"/>
    </row>
    <row r="3" spans="1:26" ht="15.75" customHeight="1" x14ac:dyDescent="0.4">
      <c r="C3">
        <f>ROUND(AVERAGE(C5:C30),2)</f>
        <v>3.8</v>
      </c>
      <c r="D3">
        <f>ROUND(AVERAGE(D5:D30),2)</f>
        <v>4.0999999999999996</v>
      </c>
      <c r="G3">
        <f>ROUND(AVERAGE(G5:G20),2)</f>
        <v>3.8</v>
      </c>
      <c r="H3">
        <f t="shared" ref="H3:Z3" si="0">ROUND(AVERAGE(H5:H20),2)</f>
        <v>3.2</v>
      </c>
      <c r="I3">
        <f t="shared" si="0"/>
        <v>3.7</v>
      </c>
      <c r="J3">
        <f t="shared" si="0"/>
        <v>3.4</v>
      </c>
      <c r="K3">
        <f t="shared" si="0"/>
        <v>4.4000000000000004</v>
      </c>
      <c r="L3">
        <f t="shared" si="0"/>
        <v>4</v>
      </c>
      <c r="M3">
        <f t="shared" si="0"/>
        <v>4.3</v>
      </c>
      <c r="N3">
        <f t="shared" si="0"/>
        <v>4.4000000000000004</v>
      </c>
      <c r="O3">
        <f t="shared" si="0"/>
        <v>3.9</v>
      </c>
      <c r="P3">
        <f t="shared" si="0"/>
        <v>3.6</v>
      </c>
      <c r="Q3">
        <f t="shared" si="0"/>
        <v>3.7</v>
      </c>
      <c r="R3">
        <f t="shared" si="0"/>
        <v>3.6</v>
      </c>
      <c r="S3">
        <f t="shared" si="0"/>
        <v>3.5</v>
      </c>
      <c r="T3">
        <f t="shared" si="0"/>
        <v>3.5</v>
      </c>
      <c r="U3">
        <f t="shared" si="0"/>
        <v>3.6</v>
      </c>
      <c r="V3">
        <f t="shared" si="0"/>
        <v>3.8</v>
      </c>
      <c r="W3">
        <f t="shared" si="0"/>
        <v>4</v>
      </c>
      <c r="X3">
        <f t="shared" si="0"/>
        <v>3.9</v>
      </c>
      <c r="Y3">
        <f t="shared" si="0"/>
        <v>3.8</v>
      </c>
      <c r="Z3">
        <f t="shared" si="0"/>
        <v>4</v>
      </c>
    </row>
    <row r="4" spans="1:26" ht="22.5" customHeight="1" x14ac:dyDescent="0.4">
      <c r="A4" s="3" t="s">
        <v>0</v>
      </c>
      <c r="B4" s="3" t="s">
        <v>1</v>
      </c>
      <c r="C4" s="3" t="s">
        <v>2</v>
      </c>
      <c r="D4" s="3" t="s">
        <v>3</v>
      </c>
      <c r="E4" s="3" t="s">
        <v>8</v>
      </c>
      <c r="F4" s="3" t="s">
        <v>9</v>
      </c>
      <c r="G4" s="3" t="s">
        <v>4</v>
      </c>
      <c r="H4" s="3" t="s">
        <v>5</v>
      </c>
      <c r="I4" s="3" t="s">
        <v>6</v>
      </c>
      <c r="J4" s="3" t="s">
        <v>7</v>
      </c>
      <c r="K4" s="3" t="s">
        <v>42</v>
      </c>
      <c r="L4" s="3" t="s">
        <v>43</v>
      </c>
      <c r="M4" s="3" t="s">
        <v>44</v>
      </c>
      <c r="N4" s="3" t="s">
        <v>45</v>
      </c>
      <c r="O4" s="3" t="s">
        <v>58</v>
      </c>
      <c r="P4" s="3" t="s">
        <v>59</v>
      </c>
      <c r="Q4" s="3" t="s">
        <v>60</v>
      </c>
      <c r="R4" s="3" t="s">
        <v>61</v>
      </c>
      <c r="S4" s="3" t="s">
        <v>78</v>
      </c>
      <c r="T4" s="3" t="s">
        <v>79</v>
      </c>
      <c r="U4" s="3" t="s">
        <v>80</v>
      </c>
      <c r="V4" s="3" t="s">
        <v>81</v>
      </c>
      <c r="W4" s="3" t="s">
        <v>102</v>
      </c>
      <c r="X4" s="3" t="s">
        <v>103</v>
      </c>
      <c r="Y4" s="3" t="s">
        <v>104</v>
      </c>
      <c r="Z4" s="3" t="s">
        <v>105</v>
      </c>
    </row>
    <row r="5" spans="1:26" ht="22.5" customHeight="1" x14ac:dyDescent="0.4">
      <c r="A5" s="1">
        <v>46197.104298391205</v>
      </c>
      <c r="B5" s="2" t="s">
        <v>107</v>
      </c>
      <c r="C5" s="2">
        <v>5</v>
      </c>
      <c r="D5" s="2">
        <v>5</v>
      </c>
      <c r="E5" s="2" t="s">
        <v>108</v>
      </c>
      <c r="F5" s="2" t="s">
        <v>109</v>
      </c>
      <c r="G5" s="2">
        <v>5</v>
      </c>
      <c r="H5" s="2">
        <v>3</v>
      </c>
      <c r="I5" s="2">
        <v>5</v>
      </c>
      <c r="J5" s="2">
        <v>5</v>
      </c>
      <c r="K5" s="2">
        <v>5</v>
      </c>
      <c r="L5" s="2">
        <v>5</v>
      </c>
      <c r="M5" s="2">
        <v>5</v>
      </c>
      <c r="N5" s="2">
        <v>5</v>
      </c>
      <c r="O5" s="2">
        <v>5</v>
      </c>
      <c r="P5" s="2">
        <v>5</v>
      </c>
      <c r="Q5" s="2">
        <v>5</v>
      </c>
      <c r="R5" s="2">
        <v>5</v>
      </c>
      <c r="S5" s="2">
        <v>3</v>
      </c>
      <c r="T5" s="2">
        <v>5</v>
      </c>
      <c r="U5" s="2">
        <v>5</v>
      </c>
      <c r="V5" s="2">
        <v>5</v>
      </c>
      <c r="W5" s="2">
        <v>5</v>
      </c>
      <c r="X5" s="2">
        <v>5</v>
      </c>
      <c r="Y5" s="2">
        <v>5</v>
      </c>
      <c r="Z5" s="2">
        <v>5</v>
      </c>
    </row>
    <row r="6" spans="1:26" ht="22.5" customHeight="1" x14ac:dyDescent="0.4">
      <c r="A6" s="1">
        <v>46197.602006956018</v>
      </c>
      <c r="B6" s="2" t="s">
        <v>107</v>
      </c>
      <c r="C6" s="2">
        <v>5</v>
      </c>
      <c r="D6" s="2">
        <v>4</v>
      </c>
      <c r="E6" s="2" t="s">
        <v>108</v>
      </c>
      <c r="G6" s="2">
        <v>2</v>
      </c>
      <c r="H6" s="2">
        <v>2</v>
      </c>
      <c r="I6" s="2">
        <v>3</v>
      </c>
      <c r="J6" s="2">
        <v>2</v>
      </c>
      <c r="K6" s="2">
        <v>5</v>
      </c>
      <c r="L6" s="2">
        <v>5</v>
      </c>
      <c r="M6" s="2">
        <v>4</v>
      </c>
      <c r="N6" s="2">
        <v>5</v>
      </c>
      <c r="O6" s="2">
        <v>5</v>
      </c>
      <c r="P6" s="2">
        <v>5</v>
      </c>
      <c r="Q6" s="2">
        <v>5</v>
      </c>
      <c r="R6" s="2">
        <v>5</v>
      </c>
      <c r="S6" s="2">
        <v>5</v>
      </c>
      <c r="T6" s="2">
        <v>5</v>
      </c>
      <c r="U6" s="2">
        <v>5</v>
      </c>
      <c r="V6" s="2">
        <v>5</v>
      </c>
      <c r="W6" s="2">
        <v>5</v>
      </c>
      <c r="X6" s="2">
        <v>5</v>
      </c>
      <c r="Y6" s="2">
        <v>5</v>
      </c>
      <c r="Z6" s="2">
        <v>5</v>
      </c>
    </row>
    <row r="7" spans="1:26" ht="22.5" customHeight="1" x14ac:dyDescent="0.4">
      <c r="A7" s="1">
        <v>46197.619040937498</v>
      </c>
      <c r="B7" s="2" t="s">
        <v>112</v>
      </c>
      <c r="C7" s="2">
        <v>5</v>
      </c>
      <c r="D7" s="2">
        <v>5</v>
      </c>
      <c r="E7" s="2" t="s">
        <v>108</v>
      </c>
      <c r="G7" s="2">
        <v>3</v>
      </c>
      <c r="H7" s="2">
        <v>3</v>
      </c>
      <c r="I7" s="2">
        <v>3</v>
      </c>
      <c r="J7" s="2">
        <v>3</v>
      </c>
      <c r="K7" s="2">
        <v>4</v>
      </c>
      <c r="L7" s="2">
        <v>2</v>
      </c>
      <c r="M7" s="2">
        <v>4</v>
      </c>
      <c r="N7" s="2">
        <v>3</v>
      </c>
      <c r="O7" s="2">
        <v>4</v>
      </c>
      <c r="P7" s="2">
        <v>3</v>
      </c>
      <c r="Q7" s="2">
        <v>2</v>
      </c>
      <c r="R7" s="2">
        <v>3</v>
      </c>
      <c r="S7" s="2">
        <v>3</v>
      </c>
      <c r="T7" s="2">
        <v>3</v>
      </c>
      <c r="U7" s="2">
        <v>3</v>
      </c>
      <c r="V7" s="2">
        <v>3</v>
      </c>
      <c r="W7" s="2">
        <v>3</v>
      </c>
      <c r="X7" s="2">
        <v>3</v>
      </c>
      <c r="Y7" s="2">
        <v>3</v>
      </c>
      <c r="Z7" s="2">
        <v>3</v>
      </c>
    </row>
    <row r="8" spans="1:26" ht="22.5" customHeight="1" x14ac:dyDescent="0.4">
      <c r="A8" s="1">
        <v>46198.52585366898</v>
      </c>
      <c r="B8" s="2" t="s">
        <v>113</v>
      </c>
      <c r="C8" s="2">
        <v>3</v>
      </c>
      <c r="D8" s="2">
        <v>4</v>
      </c>
      <c r="E8" s="2" t="s">
        <v>108</v>
      </c>
      <c r="G8" s="2">
        <v>4</v>
      </c>
      <c r="H8" s="2">
        <v>3</v>
      </c>
      <c r="I8" s="2">
        <v>4</v>
      </c>
      <c r="J8" s="2">
        <v>3</v>
      </c>
      <c r="K8" s="2">
        <v>4</v>
      </c>
      <c r="L8" s="2">
        <v>3</v>
      </c>
      <c r="M8" s="2">
        <v>4</v>
      </c>
      <c r="N8" s="2">
        <v>5</v>
      </c>
      <c r="O8" s="2">
        <v>3</v>
      </c>
      <c r="P8" s="2">
        <v>2</v>
      </c>
      <c r="Q8" s="2">
        <v>3</v>
      </c>
      <c r="R8" s="2">
        <v>3</v>
      </c>
      <c r="S8" s="2">
        <v>2</v>
      </c>
      <c r="T8" s="2">
        <v>2</v>
      </c>
      <c r="U8" s="2">
        <v>3</v>
      </c>
      <c r="V8" s="2">
        <v>3</v>
      </c>
      <c r="W8" s="2">
        <v>4</v>
      </c>
      <c r="X8" s="2">
        <v>4</v>
      </c>
      <c r="Y8" s="2">
        <v>3</v>
      </c>
      <c r="Z8" s="2">
        <v>4</v>
      </c>
    </row>
    <row r="9" spans="1:26" ht="22.5" customHeight="1" x14ac:dyDescent="0.4">
      <c r="A9" s="1">
        <v>46198.72461863426</v>
      </c>
      <c r="B9" s="2" t="s">
        <v>113</v>
      </c>
      <c r="C9" s="2">
        <v>4</v>
      </c>
      <c r="D9" s="2">
        <v>5</v>
      </c>
      <c r="E9" s="2" t="s">
        <v>108</v>
      </c>
      <c r="G9" s="2">
        <v>3</v>
      </c>
      <c r="H9" s="2">
        <v>3</v>
      </c>
      <c r="I9" s="2">
        <v>3</v>
      </c>
      <c r="J9" s="2">
        <v>3</v>
      </c>
      <c r="K9" s="2">
        <v>4</v>
      </c>
      <c r="L9" s="2">
        <v>4</v>
      </c>
      <c r="M9" s="2">
        <v>4</v>
      </c>
      <c r="N9" s="2">
        <v>4</v>
      </c>
      <c r="O9" s="2">
        <v>3</v>
      </c>
      <c r="P9" s="2">
        <v>3</v>
      </c>
      <c r="Q9" s="2">
        <v>3</v>
      </c>
      <c r="R9" s="2">
        <v>3</v>
      </c>
      <c r="S9" s="2">
        <v>3</v>
      </c>
      <c r="T9" s="2">
        <v>3</v>
      </c>
      <c r="U9" s="2">
        <v>3</v>
      </c>
      <c r="V9" s="2">
        <v>3</v>
      </c>
      <c r="W9" s="2">
        <v>3</v>
      </c>
      <c r="X9" s="2">
        <v>3</v>
      </c>
      <c r="Y9" s="2">
        <v>3</v>
      </c>
      <c r="Z9" s="2">
        <v>3</v>
      </c>
    </row>
    <row r="10" spans="1:26" ht="22.5" customHeight="1" x14ac:dyDescent="0.4">
      <c r="A10" s="1">
        <v>46200.888591238428</v>
      </c>
      <c r="B10" s="2" t="s">
        <v>113</v>
      </c>
      <c r="C10" s="2">
        <v>2</v>
      </c>
      <c r="D10" s="2">
        <v>3</v>
      </c>
      <c r="E10" s="2" t="s">
        <v>108</v>
      </c>
      <c r="F10" s="2" t="s">
        <v>115</v>
      </c>
      <c r="G10" s="2">
        <v>4</v>
      </c>
      <c r="H10" s="2">
        <v>2</v>
      </c>
      <c r="I10" s="2">
        <v>3</v>
      </c>
      <c r="J10" s="2">
        <v>2</v>
      </c>
      <c r="K10" s="2">
        <v>4</v>
      </c>
      <c r="L10" s="2">
        <v>4</v>
      </c>
      <c r="M10" s="2">
        <v>4</v>
      </c>
      <c r="N10" s="2">
        <v>4</v>
      </c>
      <c r="O10" s="2">
        <v>3</v>
      </c>
      <c r="P10" s="2">
        <v>3</v>
      </c>
      <c r="Q10" s="2">
        <v>3</v>
      </c>
      <c r="R10" s="2">
        <v>2</v>
      </c>
      <c r="S10" s="2">
        <v>2</v>
      </c>
      <c r="T10" s="2">
        <v>2</v>
      </c>
      <c r="U10" s="2">
        <v>2</v>
      </c>
      <c r="V10" s="2">
        <v>2</v>
      </c>
      <c r="W10" s="2">
        <v>4</v>
      </c>
      <c r="X10" s="2">
        <v>4</v>
      </c>
      <c r="Y10" s="2">
        <v>4</v>
      </c>
      <c r="Z10" s="2">
        <v>4</v>
      </c>
    </row>
    <row r="11" spans="1:26" ht="22.5" customHeight="1" x14ac:dyDescent="0.4">
      <c r="A11" s="1">
        <v>46201.966827789351</v>
      </c>
      <c r="B11" s="2" t="s">
        <v>107</v>
      </c>
      <c r="C11" s="2">
        <v>4</v>
      </c>
      <c r="D11" s="2">
        <v>4</v>
      </c>
      <c r="E11" s="2" t="s">
        <v>108</v>
      </c>
      <c r="F11" s="2" t="s">
        <v>116</v>
      </c>
      <c r="G11" s="2">
        <v>4</v>
      </c>
      <c r="H11" s="2">
        <v>3</v>
      </c>
      <c r="I11" s="2">
        <v>4</v>
      </c>
      <c r="J11" s="2">
        <v>4</v>
      </c>
      <c r="K11" s="2">
        <v>4</v>
      </c>
      <c r="L11" s="2">
        <v>4</v>
      </c>
      <c r="M11" s="2">
        <v>4</v>
      </c>
      <c r="N11" s="2">
        <v>4</v>
      </c>
      <c r="O11" s="2">
        <v>4</v>
      </c>
      <c r="P11" s="2">
        <v>4</v>
      </c>
      <c r="Q11" s="2">
        <v>4</v>
      </c>
      <c r="R11" s="2">
        <v>4</v>
      </c>
      <c r="S11" s="2">
        <v>4</v>
      </c>
      <c r="T11" s="2">
        <v>4</v>
      </c>
      <c r="U11" s="2">
        <v>4</v>
      </c>
      <c r="V11" s="2">
        <v>4</v>
      </c>
      <c r="W11" s="2">
        <v>4</v>
      </c>
      <c r="X11" s="2">
        <v>4</v>
      </c>
      <c r="Y11" s="2">
        <v>4</v>
      </c>
      <c r="Z11" s="2">
        <v>4</v>
      </c>
    </row>
    <row r="12" spans="1:26" ht="22.5" customHeight="1" x14ac:dyDescent="0.4">
      <c r="A12" s="1">
        <v>46202.463702719906</v>
      </c>
      <c r="B12" s="2" t="s">
        <v>112</v>
      </c>
      <c r="C12" s="2">
        <v>5</v>
      </c>
      <c r="D12" s="2">
        <v>5</v>
      </c>
      <c r="E12" s="2" t="s">
        <v>108</v>
      </c>
      <c r="G12" s="2">
        <v>5</v>
      </c>
      <c r="H12" s="2">
        <v>5</v>
      </c>
      <c r="I12" s="2">
        <v>5</v>
      </c>
      <c r="J12" s="2">
        <v>5</v>
      </c>
      <c r="K12" s="2">
        <v>4</v>
      </c>
      <c r="L12" s="2">
        <v>5</v>
      </c>
      <c r="M12" s="2">
        <v>4</v>
      </c>
      <c r="N12" s="2">
        <v>4</v>
      </c>
      <c r="O12" s="2">
        <v>5</v>
      </c>
      <c r="P12" s="2">
        <v>5</v>
      </c>
      <c r="Q12" s="2">
        <v>5</v>
      </c>
      <c r="R12" s="2">
        <v>5</v>
      </c>
      <c r="S12" s="2">
        <v>5</v>
      </c>
      <c r="T12" s="2">
        <v>5</v>
      </c>
      <c r="U12" s="2">
        <v>5</v>
      </c>
      <c r="V12" s="2">
        <v>5</v>
      </c>
      <c r="W12" s="2">
        <v>4</v>
      </c>
      <c r="X12" s="2">
        <v>4</v>
      </c>
      <c r="Y12" s="2">
        <v>4</v>
      </c>
      <c r="Z12" s="2">
        <v>4</v>
      </c>
    </row>
    <row r="13" spans="1:26" ht="22.5" customHeight="1" x14ac:dyDescent="0.4">
      <c r="A13" s="1">
        <v>46202.501892523149</v>
      </c>
      <c r="B13" s="2" t="s">
        <v>112</v>
      </c>
      <c r="C13" s="2">
        <v>1</v>
      </c>
      <c r="D13" s="2">
        <v>2</v>
      </c>
      <c r="E13" s="2" t="s">
        <v>108</v>
      </c>
      <c r="G13" s="2">
        <v>3</v>
      </c>
      <c r="H13" s="2">
        <v>4</v>
      </c>
      <c r="I13" s="2">
        <v>3</v>
      </c>
      <c r="J13" s="2">
        <v>2</v>
      </c>
      <c r="K13" s="2">
        <v>5</v>
      </c>
      <c r="L13" s="2">
        <v>4</v>
      </c>
      <c r="M13" s="2">
        <v>5</v>
      </c>
      <c r="N13" s="2">
        <v>5</v>
      </c>
      <c r="O13" s="2">
        <v>4</v>
      </c>
      <c r="P13" s="2">
        <v>3</v>
      </c>
      <c r="Q13" s="2">
        <v>3</v>
      </c>
      <c r="R13" s="2">
        <v>3</v>
      </c>
      <c r="S13" s="2">
        <v>3</v>
      </c>
      <c r="T13" s="2">
        <v>3</v>
      </c>
      <c r="U13" s="2">
        <v>3</v>
      </c>
      <c r="V13" s="2">
        <v>3</v>
      </c>
      <c r="W13" s="2">
        <v>3</v>
      </c>
      <c r="X13" s="2">
        <v>3</v>
      </c>
      <c r="Y13" s="2">
        <v>3</v>
      </c>
      <c r="Z13" s="2">
        <v>3</v>
      </c>
    </row>
    <row r="14" spans="1:26" ht="22.5" customHeight="1" x14ac:dyDescent="0.4">
      <c r="A14" s="1">
        <v>46203.93839570602</v>
      </c>
      <c r="B14" s="2" t="s">
        <v>112</v>
      </c>
      <c r="C14" s="2">
        <v>4</v>
      </c>
      <c r="D14" s="2">
        <v>4</v>
      </c>
      <c r="E14" s="2" t="s">
        <v>108</v>
      </c>
      <c r="F14" s="2" t="s">
        <v>174</v>
      </c>
      <c r="G14" s="2">
        <v>5</v>
      </c>
      <c r="H14" s="2">
        <v>4</v>
      </c>
      <c r="I14" s="2">
        <v>4</v>
      </c>
      <c r="J14" s="2">
        <v>5</v>
      </c>
      <c r="K14" s="2">
        <v>5</v>
      </c>
      <c r="L14" s="2">
        <v>4</v>
      </c>
      <c r="M14" s="2">
        <v>5</v>
      </c>
      <c r="N14" s="2">
        <v>5</v>
      </c>
      <c r="O14" s="2">
        <v>3</v>
      </c>
      <c r="P14" s="2">
        <v>3</v>
      </c>
      <c r="Q14" s="2">
        <v>4</v>
      </c>
      <c r="R14" s="2">
        <v>3</v>
      </c>
      <c r="S14" s="2">
        <v>5</v>
      </c>
      <c r="T14" s="2">
        <v>3</v>
      </c>
      <c r="U14" s="2">
        <v>3</v>
      </c>
      <c r="V14" s="2">
        <v>5</v>
      </c>
      <c r="W14" s="2">
        <v>5</v>
      </c>
      <c r="X14" s="2">
        <v>4</v>
      </c>
      <c r="Y14" s="2">
        <v>4</v>
      </c>
      <c r="Z14" s="2">
        <v>5</v>
      </c>
    </row>
    <row r="22" spans="1:33" ht="12.3" x14ac:dyDescent="0.4">
      <c r="G22">
        <f>((COLUMN()-7)*4)+7</f>
        <v>7</v>
      </c>
      <c r="H22">
        <f t="shared" ref="H22:K22" si="1">((COLUMN()-7)*4)+7</f>
        <v>11</v>
      </c>
      <c r="I22">
        <f t="shared" si="1"/>
        <v>15</v>
      </c>
      <c r="J22">
        <f t="shared" si="1"/>
        <v>19</v>
      </c>
      <c r="K22">
        <f t="shared" si="1"/>
        <v>23</v>
      </c>
    </row>
    <row r="23" spans="1:33" ht="12.3" x14ac:dyDescent="0.4">
      <c r="A23" s="6"/>
      <c r="E23" s="11" t="s">
        <v>145</v>
      </c>
      <c r="F23" s="11"/>
      <c r="G23" s="6" cm="1">
        <f t="array" ref="G23">INDEX($A:$EW,3,G$22)</f>
        <v>3.8</v>
      </c>
      <c r="H23" s="6" cm="1">
        <f t="array" ref="H23">INDEX($A:$EW,3,H$22)</f>
        <v>4.4000000000000004</v>
      </c>
      <c r="I23" s="6" cm="1">
        <f t="array" ref="I23">INDEX($A:$EW,3,I$22)</f>
        <v>3.9</v>
      </c>
      <c r="J23" s="6" cm="1">
        <f t="array" ref="J23">INDEX($A:$EW,3,J$22)</f>
        <v>3.5</v>
      </c>
      <c r="K23" s="6" cm="1">
        <f t="array" ref="K23">INDEX($A:$CC,3,K$22)</f>
        <v>4</v>
      </c>
      <c r="L23" s="6"/>
    </row>
    <row r="24" spans="1:33" ht="12.3" x14ac:dyDescent="0.4">
      <c r="E24" s="11" t="s">
        <v>146</v>
      </c>
      <c r="F24" s="11"/>
      <c r="G24" s="6" cm="1">
        <f t="array" ref="G24">INDEX($A:$EW,3,G$22+1)</f>
        <v>3.2</v>
      </c>
      <c r="H24" s="6" cm="1">
        <f t="array" ref="H24">INDEX($A:$EW,3,H$22+1)</f>
        <v>4</v>
      </c>
      <c r="I24" s="6" cm="1">
        <f t="array" ref="I24">INDEX($A:$EW,3,I$22+1)</f>
        <v>3.6</v>
      </c>
      <c r="J24" s="6" cm="1">
        <f t="array" ref="J24">INDEX($A:$EW,3,J$22+1)</f>
        <v>3.5</v>
      </c>
      <c r="K24" s="6" cm="1">
        <f t="array" ref="K24">INDEX($A:$CC,3,K$22+1)</f>
        <v>3.9</v>
      </c>
      <c r="L24" s="6"/>
    </row>
    <row r="25" spans="1:33" ht="12.3" x14ac:dyDescent="0.4">
      <c r="E25" s="11" t="s">
        <v>144</v>
      </c>
      <c r="F25" s="11"/>
      <c r="G25" cm="1">
        <f t="array" ref="G25">INDEX($A:$EW,3,G$22+2)</f>
        <v>3.7</v>
      </c>
      <c r="H25" cm="1">
        <f t="array" ref="H25">INDEX($A:$EW,3,H$22+2)</f>
        <v>4.3</v>
      </c>
      <c r="I25" cm="1">
        <f t="array" ref="I25">INDEX($A:$EW,3,I$22+2)</f>
        <v>3.7</v>
      </c>
      <c r="J25" cm="1">
        <f t="array" ref="J25">INDEX($A:$EW,3,J$22+2)</f>
        <v>3.6</v>
      </c>
      <c r="K25" cm="1">
        <f t="array" ref="K25">INDEX($A:$CC,3,K$22+2)</f>
        <v>3.8</v>
      </c>
    </row>
    <row r="26" spans="1:33" ht="12.3" x14ac:dyDescent="0.4">
      <c r="E26" s="11" t="s">
        <v>143</v>
      </c>
      <c r="F26" s="11"/>
      <c r="G26" cm="1">
        <f t="array" ref="G26">INDEX($A:$EW,3,G$22+3)</f>
        <v>3.4</v>
      </c>
      <c r="H26" cm="1">
        <f t="array" ref="H26">INDEX($A:$EW,3,H$22+3)</f>
        <v>4.4000000000000004</v>
      </c>
      <c r="I26" cm="1">
        <f t="array" ref="I26">INDEX($A:$EW,3,I$22+3)</f>
        <v>3.6</v>
      </c>
      <c r="J26" cm="1">
        <f t="array" ref="J26">INDEX($A:$EW,3,J$22+3)</f>
        <v>3.8</v>
      </c>
      <c r="K26" cm="1">
        <f t="array" ref="K26">INDEX($A:$CC,3,K$22+3)</f>
        <v>4</v>
      </c>
    </row>
    <row r="27" spans="1:33" s="4" customFormat="1" ht="12.3" x14ac:dyDescent="0.4">
      <c r="E27" s="12" t="s">
        <v>147</v>
      </c>
      <c r="F27" s="12"/>
      <c r="G27" s="7">
        <f t="shared" ref="G27:K27" si="2">AVERAGE(G23:G26)</f>
        <v>3.5249999999999999</v>
      </c>
      <c r="H27" s="7">
        <f t="shared" si="2"/>
        <v>4.2750000000000004</v>
      </c>
      <c r="I27" s="7">
        <f t="shared" si="2"/>
        <v>3.6999999999999997</v>
      </c>
      <c r="J27" s="7">
        <f t="shared" si="2"/>
        <v>3.5999999999999996</v>
      </c>
      <c r="K27" s="7">
        <f t="shared" si="2"/>
        <v>3.9249999999999998</v>
      </c>
      <c r="L27" s="7"/>
    </row>
    <row r="28" spans="1:33" ht="12.3" x14ac:dyDescent="0.4">
      <c r="G28">
        <v>12</v>
      </c>
      <c r="H28">
        <v>13</v>
      </c>
      <c r="I28">
        <v>14</v>
      </c>
      <c r="J28">
        <v>15</v>
      </c>
      <c r="K28">
        <v>24</v>
      </c>
    </row>
    <row r="29" spans="1:33" ht="15.75" customHeight="1" x14ac:dyDescent="0.4">
      <c r="AE29">
        <v>25</v>
      </c>
      <c r="AF29" t="str">
        <f>CHAR(70+AE29)</f>
        <v>_</v>
      </c>
      <c r="AG29" t="s">
        <v>141</v>
      </c>
    </row>
    <row r="31" spans="1:33" ht="43.5" customHeight="1" x14ac:dyDescent="0.4">
      <c r="B31" s="8" t="str">
        <f>E23</f>
        <v xml:space="preserve"> Claridad técnica</v>
      </c>
      <c r="C31" s="8" t="str">
        <f>E24</f>
        <v>Nivel de dificultad adecuado</v>
      </c>
      <c r="D31" s="8" t="str">
        <f>E25</f>
        <v>Calidad de los distractores</v>
      </c>
      <c r="E31" s="8" t="str">
        <f>E26</f>
        <v>Validez pedagógica</v>
      </c>
      <c r="F31" s="8" t="s">
        <v>173</v>
      </c>
    </row>
    <row r="32" spans="1:33" ht="15.75" customHeight="1" x14ac:dyDescent="0.4">
      <c r="A32" t="s">
        <v>191</v>
      </c>
      <c r="B32" cm="1">
        <f t="array" ref="B32:B36">TRANSPOSE(G23:K23)</f>
        <v>3.8</v>
      </c>
      <c r="C32" cm="1">
        <f t="array" ref="C32:C36">TRANSPOSE(G24:K24)</f>
        <v>3.2</v>
      </c>
      <c r="D32" cm="1">
        <f t="array" ref="D32:D36">TRANSPOSE(G25:K25)</f>
        <v>3.7</v>
      </c>
      <c r="E32" cm="1">
        <f t="array" ref="E32:E36">TRANSPOSE(G26:K26)</f>
        <v>3.4</v>
      </c>
      <c r="F32" cm="1">
        <f t="array" ref="F32:F36">TRANSPOSE(G27:K27)</f>
        <v>3.5249999999999999</v>
      </c>
    </row>
    <row r="33" spans="1:6" ht="15.75" customHeight="1" x14ac:dyDescent="0.4">
      <c r="A33" t="s">
        <v>192</v>
      </c>
      <c r="B33">
        <v>4.4000000000000004</v>
      </c>
      <c r="C33">
        <v>4</v>
      </c>
      <c r="D33">
        <v>4.3</v>
      </c>
      <c r="E33">
        <v>4.4000000000000004</v>
      </c>
      <c r="F33">
        <v>4.2750000000000004</v>
      </c>
    </row>
    <row r="34" spans="1:6" ht="15.75" customHeight="1" x14ac:dyDescent="0.4">
      <c r="A34" t="s">
        <v>193</v>
      </c>
      <c r="B34">
        <v>3.9</v>
      </c>
      <c r="C34">
        <v>3.6</v>
      </c>
      <c r="D34">
        <v>3.7</v>
      </c>
      <c r="E34">
        <v>3.6</v>
      </c>
      <c r="F34">
        <v>3.6999999999999997</v>
      </c>
    </row>
    <row r="35" spans="1:6" ht="15.75" customHeight="1" x14ac:dyDescent="0.4">
      <c r="A35" t="s">
        <v>194</v>
      </c>
      <c r="B35">
        <v>3.5</v>
      </c>
      <c r="C35">
        <v>3.5</v>
      </c>
      <c r="D35">
        <v>3.6</v>
      </c>
      <c r="E35">
        <v>3.8</v>
      </c>
      <c r="F35">
        <v>3.5999999999999996</v>
      </c>
    </row>
    <row r="36" spans="1:6" ht="15.75" customHeight="1" x14ac:dyDescent="0.4">
      <c r="A36" t="s">
        <v>195</v>
      </c>
      <c r="B36">
        <v>4</v>
      </c>
      <c r="C36">
        <v>3.9</v>
      </c>
      <c r="D36">
        <v>3.8</v>
      </c>
      <c r="E36">
        <v>4</v>
      </c>
      <c r="F36">
        <v>3.9249999999999998</v>
      </c>
    </row>
    <row r="37" spans="1:6" ht="15.75" customHeight="1" x14ac:dyDescent="0.4">
      <c r="A37" t="s">
        <v>173</v>
      </c>
      <c r="B37">
        <f t="shared" ref="B37:E37" si="3">AVERAGE(_xlfn.ANCHORARRAY(B32))</f>
        <v>3.9200000000000004</v>
      </c>
      <c r="C37">
        <f t="shared" si="3"/>
        <v>3.6399999999999997</v>
      </c>
      <c r="D37">
        <f t="shared" si="3"/>
        <v>3.8199999999999994</v>
      </c>
      <c r="E37">
        <f t="shared" si="3"/>
        <v>3.84</v>
      </c>
      <c r="F37" s="4">
        <f>AVERAGE(_xlfn.ANCHORARRAY(F32))</f>
        <v>3.8049999999999997</v>
      </c>
    </row>
  </sheetData>
  <mergeCells count="15">
    <mergeCell ref="E23:F23"/>
    <mergeCell ref="E24:F24"/>
    <mergeCell ref="E25:F25"/>
    <mergeCell ref="E26:F26"/>
    <mergeCell ref="E27:F27"/>
    <mergeCell ref="G1:J1"/>
    <mergeCell ref="K1:N1"/>
    <mergeCell ref="O1:R1"/>
    <mergeCell ref="S1:V1"/>
    <mergeCell ref="W1:Z1"/>
    <mergeCell ref="G2:J2"/>
    <mergeCell ref="K2:N2"/>
    <mergeCell ref="O2:R2"/>
    <mergeCell ref="S2:V2"/>
    <mergeCell ref="W2:Z2"/>
  </mergeCells>
  <pageMargins left="0.7" right="0.7" top="0.75" bottom="0.75" header="0.3" footer="0.3"/>
  <drawing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2EDF1-BCDD-4EDD-AD5F-893D87A8FD9D}">
  <sheetPr>
    <outlinePr summaryBelow="0" summaryRight="0"/>
  </sheetPr>
  <dimension ref="A1:AG37"/>
  <sheetViews>
    <sheetView workbookViewId="0">
      <pane ySplit="4" topLeftCell="A25" activePane="bottomLeft" state="frozen"/>
      <selection pane="bottomLeft" activeCell="B31" sqref="B31:F31"/>
    </sheetView>
  </sheetViews>
  <sheetFormatPr baseColWidth="10" defaultColWidth="12.609375" defaultRowHeight="15.75" customHeight="1" x14ac:dyDescent="0.4"/>
  <cols>
    <col min="1" max="6" width="10.609375" customWidth="1"/>
    <col min="7" max="26" width="7.609375" customWidth="1"/>
    <col min="27" max="33" width="18.88671875" customWidth="1"/>
    <col min="34" max="34" width="11" customWidth="1"/>
    <col min="35" max="58" width="5.609375" customWidth="1"/>
  </cols>
  <sheetData>
    <row r="1" spans="1:26" ht="15.75" customHeight="1" x14ac:dyDescent="0.4">
      <c r="G1" s="13" t="s">
        <v>119</v>
      </c>
      <c r="H1" s="13"/>
      <c r="I1" s="13"/>
      <c r="J1" s="13"/>
      <c r="K1" s="13" t="s">
        <v>125</v>
      </c>
      <c r="L1" s="13"/>
      <c r="M1" s="13"/>
      <c r="N1" s="13"/>
      <c r="O1" s="13" t="s">
        <v>127</v>
      </c>
      <c r="P1" s="13"/>
      <c r="Q1" s="13"/>
      <c r="R1" s="13"/>
      <c r="S1" s="13" t="s">
        <v>136</v>
      </c>
      <c r="T1" s="13"/>
      <c r="U1" s="13"/>
      <c r="V1" s="13"/>
      <c r="W1" s="13" t="s">
        <v>138</v>
      </c>
      <c r="X1" s="13"/>
      <c r="Y1" s="13"/>
      <c r="Z1" s="13"/>
    </row>
    <row r="2" spans="1:26" ht="15.75" customHeight="1" x14ac:dyDescent="0.4">
      <c r="F2" s="4">
        <f>ROUND(AVERAGE(G3:Z3),2)</f>
        <v>3.92</v>
      </c>
      <c r="G2" s="13">
        <f>ROUND(AVERAGE(G3:J3),2)</f>
        <v>4.18</v>
      </c>
      <c r="H2" s="13"/>
      <c r="I2" s="13"/>
      <c r="J2" s="13"/>
      <c r="K2" s="13">
        <f>ROUND(AVERAGE(K3:N3),2)</f>
        <v>3.73</v>
      </c>
      <c r="L2" s="13"/>
      <c r="M2" s="13"/>
      <c r="N2" s="13"/>
      <c r="O2" s="13">
        <f>ROUND(AVERAGE(O3:R3),2)</f>
        <v>4.3</v>
      </c>
      <c r="P2" s="13"/>
      <c r="Q2" s="13"/>
      <c r="R2" s="13"/>
      <c r="S2" s="13">
        <f>ROUND(AVERAGE(S3:V3),2)</f>
        <v>3.7</v>
      </c>
      <c r="T2" s="13"/>
      <c r="U2" s="13"/>
      <c r="V2" s="13"/>
      <c r="W2" s="13">
        <f>ROUND(AVERAGE(W3:Z3),2)</f>
        <v>3.7</v>
      </c>
      <c r="X2" s="13"/>
      <c r="Y2" s="13"/>
      <c r="Z2" s="13"/>
    </row>
    <row r="3" spans="1:26" ht="15.75" customHeight="1" x14ac:dyDescent="0.4">
      <c r="C3">
        <f>ROUND(AVERAGE(C5:C30),2)</f>
        <v>3.8</v>
      </c>
      <c r="D3">
        <f>ROUND(AVERAGE(D5:D30),2)</f>
        <v>4.0999999999999996</v>
      </c>
      <c r="G3">
        <f t="shared" ref="G3:Z3" si="0">ROUND(AVERAGE(G5:G20),2)</f>
        <v>4.3</v>
      </c>
      <c r="H3">
        <f t="shared" si="0"/>
        <v>4.3</v>
      </c>
      <c r="I3">
        <f t="shared" si="0"/>
        <v>3.9</v>
      </c>
      <c r="J3">
        <f t="shared" si="0"/>
        <v>4.2</v>
      </c>
      <c r="K3">
        <f t="shared" si="0"/>
        <v>4.0999999999999996</v>
      </c>
      <c r="L3">
        <f t="shared" si="0"/>
        <v>3.4</v>
      </c>
      <c r="M3">
        <f t="shared" si="0"/>
        <v>3.7</v>
      </c>
      <c r="N3">
        <f t="shared" si="0"/>
        <v>3.7</v>
      </c>
      <c r="O3">
        <f t="shared" si="0"/>
        <v>4.4000000000000004</v>
      </c>
      <c r="P3">
        <f t="shared" si="0"/>
        <v>4.3</v>
      </c>
      <c r="Q3">
        <f t="shared" si="0"/>
        <v>4.0999999999999996</v>
      </c>
      <c r="R3">
        <f t="shared" si="0"/>
        <v>4.4000000000000004</v>
      </c>
      <c r="S3">
        <f t="shared" si="0"/>
        <v>3.9</v>
      </c>
      <c r="T3">
        <f t="shared" si="0"/>
        <v>3.5</v>
      </c>
      <c r="U3">
        <f t="shared" si="0"/>
        <v>3.6</v>
      </c>
      <c r="V3">
        <f t="shared" si="0"/>
        <v>3.8</v>
      </c>
      <c r="W3">
        <f t="shared" si="0"/>
        <v>3.8</v>
      </c>
      <c r="X3">
        <f t="shared" si="0"/>
        <v>3.5</v>
      </c>
      <c r="Y3">
        <f t="shared" si="0"/>
        <v>3.8</v>
      </c>
      <c r="Z3">
        <f t="shared" si="0"/>
        <v>3.7</v>
      </c>
    </row>
    <row r="4" spans="1:26" ht="22.5" customHeight="1" x14ac:dyDescent="0.4">
      <c r="A4" s="3" t="s">
        <v>0</v>
      </c>
      <c r="B4" s="3" t="s">
        <v>1</v>
      </c>
      <c r="C4" s="3" t="s">
        <v>2</v>
      </c>
      <c r="D4" s="3" t="s">
        <v>3</v>
      </c>
      <c r="E4" s="3" t="s">
        <v>8</v>
      </c>
      <c r="F4" s="3" t="s">
        <v>9</v>
      </c>
      <c r="G4" s="3" t="s">
        <v>14</v>
      </c>
      <c r="H4" s="3" t="s">
        <v>15</v>
      </c>
      <c r="I4" s="3" t="s">
        <v>16</v>
      </c>
      <c r="J4" s="3" t="s">
        <v>17</v>
      </c>
      <c r="K4" s="3" t="s">
        <v>38</v>
      </c>
      <c r="L4" s="3" t="s">
        <v>39</v>
      </c>
      <c r="M4" s="3" t="s">
        <v>40</v>
      </c>
      <c r="N4" s="3" t="s">
        <v>41</v>
      </c>
      <c r="O4" s="3" t="s">
        <v>46</v>
      </c>
      <c r="P4" s="3" t="s">
        <v>47</v>
      </c>
      <c r="Q4" s="3" t="s">
        <v>48</v>
      </c>
      <c r="R4" s="3" t="s">
        <v>49</v>
      </c>
      <c r="S4" s="3" t="s">
        <v>82</v>
      </c>
      <c r="T4" s="3" t="s">
        <v>83</v>
      </c>
      <c r="U4" s="3" t="s">
        <v>84</v>
      </c>
      <c r="V4" s="3" t="s">
        <v>85</v>
      </c>
      <c r="W4" s="3" t="s">
        <v>90</v>
      </c>
      <c r="X4" s="3" t="s">
        <v>91</v>
      </c>
      <c r="Y4" s="3" t="s">
        <v>92</v>
      </c>
      <c r="Z4" s="3" t="s">
        <v>93</v>
      </c>
    </row>
    <row r="5" spans="1:26" ht="22.5" customHeight="1" x14ac:dyDescent="0.4">
      <c r="A5" s="1">
        <v>46197.104298391205</v>
      </c>
      <c r="B5" s="2" t="s">
        <v>107</v>
      </c>
      <c r="C5" s="2">
        <v>5</v>
      </c>
      <c r="D5" s="2">
        <v>5</v>
      </c>
      <c r="E5" s="2" t="s">
        <v>108</v>
      </c>
      <c r="F5" s="2" t="s">
        <v>109</v>
      </c>
      <c r="G5" s="2">
        <v>5</v>
      </c>
      <c r="H5" s="2">
        <v>5</v>
      </c>
      <c r="I5" s="2">
        <v>5</v>
      </c>
      <c r="J5" s="2">
        <v>5</v>
      </c>
      <c r="K5" s="2">
        <v>5</v>
      </c>
      <c r="L5" s="2">
        <v>5</v>
      </c>
      <c r="M5" s="2">
        <v>5</v>
      </c>
      <c r="N5" s="2">
        <v>5</v>
      </c>
      <c r="O5" s="2">
        <v>5</v>
      </c>
      <c r="P5" s="2">
        <v>5</v>
      </c>
      <c r="Q5" s="2">
        <v>5</v>
      </c>
      <c r="R5" s="2">
        <v>5</v>
      </c>
      <c r="S5" s="2">
        <v>5</v>
      </c>
      <c r="T5" s="2">
        <v>5</v>
      </c>
      <c r="U5" s="2">
        <v>4</v>
      </c>
      <c r="V5" s="2">
        <v>5</v>
      </c>
      <c r="W5" s="2">
        <v>5</v>
      </c>
      <c r="X5" s="2">
        <v>5</v>
      </c>
      <c r="Y5" s="2">
        <v>5</v>
      </c>
      <c r="Z5" s="2">
        <v>4</v>
      </c>
    </row>
    <row r="6" spans="1:26" ht="22.5" customHeight="1" x14ac:dyDescent="0.4">
      <c r="A6" s="1">
        <v>46197.602006956018</v>
      </c>
      <c r="B6" s="2" t="s">
        <v>107</v>
      </c>
      <c r="C6" s="2">
        <v>5</v>
      </c>
      <c r="D6" s="2">
        <v>4</v>
      </c>
      <c r="E6" s="2" t="s">
        <v>108</v>
      </c>
      <c r="G6" s="2">
        <v>5</v>
      </c>
      <c r="H6" s="2">
        <v>5</v>
      </c>
      <c r="I6" s="2">
        <v>5</v>
      </c>
      <c r="J6" s="2">
        <v>5</v>
      </c>
      <c r="K6" s="2">
        <v>5</v>
      </c>
      <c r="L6" s="2">
        <v>3</v>
      </c>
      <c r="M6" s="2">
        <v>4</v>
      </c>
      <c r="N6" s="2">
        <v>4</v>
      </c>
      <c r="O6" s="2">
        <v>5</v>
      </c>
      <c r="P6" s="2">
        <v>5</v>
      </c>
      <c r="Q6" s="2">
        <v>5</v>
      </c>
      <c r="R6" s="2">
        <v>5</v>
      </c>
      <c r="S6" s="2">
        <v>5</v>
      </c>
      <c r="T6" s="2">
        <v>5</v>
      </c>
      <c r="U6" s="2">
        <v>5</v>
      </c>
      <c r="V6" s="2">
        <v>5</v>
      </c>
      <c r="W6" s="2">
        <v>4</v>
      </c>
      <c r="X6" s="2">
        <v>3</v>
      </c>
      <c r="Y6" s="2">
        <v>3</v>
      </c>
      <c r="Z6" s="2">
        <v>3</v>
      </c>
    </row>
    <row r="7" spans="1:26" ht="22.5" customHeight="1" x14ac:dyDescent="0.4">
      <c r="A7" s="1">
        <v>46197.619040937498</v>
      </c>
      <c r="B7" s="2" t="s">
        <v>112</v>
      </c>
      <c r="C7" s="2">
        <v>5</v>
      </c>
      <c r="D7" s="2">
        <v>5</v>
      </c>
      <c r="E7" s="2" t="s">
        <v>108</v>
      </c>
      <c r="G7" s="2">
        <v>2</v>
      </c>
      <c r="H7" s="2">
        <v>3</v>
      </c>
      <c r="I7" s="2">
        <v>3</v>
      </c>
      <c r="J7" s="2">
        <v>2</v>
      </c>
      <c r="K7" s="2">
        <v>4</v>
      </c>
      <c r="L7" s="2">
        <v>3</v>
      </c>
      <c r="M7" s="2">
        <v>3</v>
      </c>
      <c r="N7" s="2">
        <v>3</v>
      </c>
      <c r="O7" s="2">
        <v>3</v>
      </c>
      <c r="P7" s="2">
        <v>3</v>
      </c>
      <c r="Q7" s="2">
        <v>3</v>
      </c>
      <c r="R7" s="2">
        <v>3</v>
      </c>
      <c r="S7" s="2">
        <v>3</v>
      </c>
      <c r="T7" s="2">
        <v>3</v>
      </c>
      <c r="U7" s="2">
        <v>3</v>
      </c>
      <c r="V7" s="2">
        <v>3</v>
      </c>
      <c r="W7" s="2">
        <v>3</v>
      </c>
      <c r="X7" s="2">
        <v>3</v>
      </c>
      <c r="Y7" s="2">
        <v>3</v>
      </c>
      <c r="Z7" s="2">
        <v>3</v>
      </c>
    </row>
    <row r="8" spans="1:26" ht="22.5" customHeight="1" x14ac:dyDescent="0.4">
      <c r="A8" s="1">
        <v>46198.52585366898</v>
      </c>
      <c r="B8" s="2" t="s">
        <v>113</v>
      </c>
      <c r="C8" s="2">
        <v>3</v>
      </c>
      <c r="D8" s="2">
        <v>4</v>
      </c>
      <c r="E8" s="2" t="s">
        <v>108</v>
      </c>
      <c r="G8" s="2">
        <v>4</v>
      </c>
      <c r="H8" s="2">
        <v>4</v>
      </c>
      <c r="I8" s="2">
        <v>1</v>
      </c>
      <c r="J8" s="2">
        <v>3</v>
      </c>
      <c r="K8" s="2">
        <v>3</v>
      </c>
      <c r="L8" s="2">
        <v>1</v>
      </c>
      <c r="M8" s="2">
        <v>3</v>
      </c>
      <c r="N8" s="2">
        <v>2</v>
      </c>
      <c r="O8" s="2">
        <v>5</v>
      </c>
      <c r="P8" s="2">
        <v>5</v>
      </c>
      <c r="Q8" s="2">
        <v>5</v>
      </c>
      <c r="R8" s="2">
        <v>5</v>
      </c>
      <c r="S8" s="2">
        <v>3</v>
      </c>
      <c r="T8" s="2">
        <v>2</v>
      </c>
      <c r="U8" s="2">
        <v>2</v>
      </c>
      <c r="V8" s="2">
        <v>3</v>
      </c>
      <c r="W8" s="2">
        <v>3</v>
      </c>
      <c r="X8" s="2">
        <v>2</v>
      </c>
      <c r="Y8" s="2">
        <v>5</v>
      </c>
      <c r="Z8" s="2">
        <v>4</v>
      </c>
    </row>
    <row r="9" spans="1:26" ht="22.5" customHeight="1" x14ac:dyDescent="0.4">
      <c r="A9" s="1">
        <v>46198.72461863426</v>
      </c>
      <c r="B9" s="2" t="s">
        <v>113</v>
      </c>
      <c r="C9" s="2">
        <v>4</v>
      </c>
      <c r="D9" s="2">
        <v>5</v>
      </c>
      <c r="E9" s="2" t="s">
        <v>108</v>
      </c>
      <c r="G9" s="2">
        <v>4</v>
      </c>
      <c r="H9" s="2">
        <v>5</v>
      </c>
      <c r="I9" s="2">
        <v>4</v>
      </c>
      <c r="J9" s="2">
        <v>4</v>
      </c>
      <c r="K9" s="2">
        <v>3</v>
      </c>
      <c r="L9" s="2">
        <v>3</v>
      </c>
      <c r="M9" s="2">
        <v>3</v>
      </c>
      <c r="N9" s="2">
        <v>3</v>
      </c>
      <c r="O9" s="2">
        <v>4</v>
      </c>
      <c r="P9" s="2">
        <v>5</v>
      </c>
      <c r="Q9" s="2">
        <v>3</v>
      </c>
      <c r="R9" s="2">
        <v>4</v>
      </c>
      <c r="S9" s="2">
        <v>4</v>
      </c>
      <c r="T9" s="2">
        <v>4</v>
      </c>
      <c r="U9" s="2">
        <v>4</v>
      </c>
      <c r="V9" s="2">
        <v>4</v>
      </c>
      <c r="W9" s="2">
        <v>3</v>
      </c>
      <c r="X9" s="2">
        <v>3</v>
      </c>
      <c r="Y9" s="2">
        <v>3</v>
      </c>
      <c r="Z9" s="2">
        <v>3</v>
      </c>
    </row>
    <row r="10" spans="1:26" ht="22.5" customHeight="1" x14ac:dyDescent="0.4">
      <c r="A10" s="1">
        <v>46200.888591238428</v>
      </c>
      <c r="B10" s="2" t="s">
        <v>113</v>
      </c>
      <c r="C10" s="2">
        <v>2</v>
      </c>
      <c r="D10" s="2">
        <v>3</v>
      </c>
      <c r="E10" s="2" t="s">
        <v>108</v>
      </c>
      <c r="F10" s="2" t="s">
        <v>115</v>
      </c>
      <c r="G10" s="2">
        <v>4</v>
      </c>
      <c r="H10" s="2">
        <v>4</v>
      </c>
      <c r="I10" s="2">
        <v>4</v>
      </c>
      <c r="J10" s="2">
        <v>4</v>
      </c>
      <c r="K10" s="2">
        <v>4</v>
      </c>
      <c r="L10" s="2">
        <v>4</v>
      </c>
      <c r="M10" s="2">
        <v>4</v>
      </c>
      <c r="N10" s="2">
        <v>4</v>
      </c>
      <c r="O10" s="2">
        <v>4</v>
      </c>
      <c r="P10" s="2">
        <v>4</v>
      </c>
      <c r="Q10" s="2">
        <v>4</v>
      </c>
      <c r="R10" s="2">
        <v>4</v>
      </c>
      <c r="S10" s="2">
        <v>1</v>
      </c>
      <c r="T10" s="2">
        <v>1</v>
      </c>
      <c r="U10" s="2">
        <v>1</v>
      </c>
      <c r="V10" s="2">
        <v>1</v>
      </c>
      <c r="W10" s="2">
        <v>3</v>
      </c>
      <c r="X10" s="2">
        <v>3</v>
      </c>
      <c r="Y10" s="2">
        <v>3</v>
      </c>
      <c r="Z10" s="2">
        <v>3</v>
      </c>
    </row>
    <row r="11" spans="1:26" ht="22.5" customHeight="1" x14ac:dyDescent="0.4">
      <c r="A11" s="1">
        <v>46201.966827789351</v>
      </c>
      <c r="B11" s="2" t="s">
        <v>107</v>
      </c>
      <c r="C11" s="2">
        <v>4</v>
      </c>
      <c r="D11" s="2">
        <v>4</v>
      </c>
      <c r="E11" s="2" t="s">
        <v>108</v>
      </c>
      <c r="F11" s="2" t="s">
        <v>116</v>
      </c>
      <c r="G11" s="2">
        <v>4</v>
      </c>
      <c r="H11" s="2">
        <v>4</v>
      </c>
      <c r="I11" s="2">
        <v>4</v>
      </c>
      <c r="J11" s="2">
        <v>4</v>
      </c>
      <c r="K11" s="2">
        <v>4</v>
      </c>
      <c r="L11" s="2">
        <v>4</v>
      </c>
      <c r="M11" s="2">
        <v>4</v>
      </c>
      <c r="N11" s="2">
        <v>4</v>
      </c>
      <c r="O11" s="2">
        <v>4</v>
      </c>
      <c r="P11" s="2">
        <v>4</v>
      </c>
      <c r="Q11" s="2">
        <v>4</v>
      </c>
      <c r="R11" s="2">
        <v>4</v>
      </c>
      <c r="S11" s="2">
        <v>4</v>
      </c>
      <c r="T11" s="2">
        <v>3</v>
      </c>
      <c r="U11" s="2">
        <v>4</v>
      </c>
      <c r="V11" s="2">
        <v>4</v>
      </c>
      <c r="W11" s="2">
        <v>4</v>
      </c>
      <c r="X11" s="2">
        <v>4</v>
      </c>
      <c r="Y11" s="2">
        <v>4</v>
      </c>
      <c r="Z11" s="2">
        <v>4</v>
      </c>
    </row>
    <row r="12" spans="1:26" ht="22.5" customHeight="1" x14ac:dyDescent="0.4">
      <c r="A12" s="1">
        <v>46202.463702719906</v>
      </c>
      <c r="B12" s="2" t="s">
        <v>112</v>
      </c>
      <c r="C12" s="2">
        <v>5</v>
      </c>
      <c r="D12" s="2">
        <v>5</v>
      </c>
      <c r="E12" s="2" t="s">
        <v>108</v>
      </c>
      <c r="G12" s="2">
        <v>5</v>
      </c>
      <c r="H12" s="2">
        <v>5</v>
      </c>
      <c r="I12" s="2">
        <v>5</v>
      </c>
      <c r="J12" s="2">
        <v>5</v>
      </c>
      <c r="K12" s="2">
        <v>5</v>
      </c>
      <c r="L12" s="2">
        <v>5</v>
      </c>
      <c r="M12" s="2">
        <v>5</v>
      </c>
      <c r="N12" s="2">
        <v>5</v>
      </c>
      <c r="O12" s="2">
        <v>5</v>
      </c>
      <c r="P12" s="2">
        <v>5</v>
      </c>
      <c r="Q12" s="2">
        <v>5</v>
      </c>
      <c r="R12" s="2">
        <v>5</v>
      </c>
      <c r="S12" s="2">
        <v>5</v>
      </c>
      <c r="T12" s="2">
        <v>5</v>
      </c>
      <c r="U12" s="2">
        <v>5</v>
      </c>
      <c r="V12" s="2">
        <v>5</v>
      </c>
      <c r="W12" s="2">
        <v>5</v>
      </c>
      <c r="X12" s="2">
        <v>5</v>
      </c>
      <c r="Y12" s="2">
        <v>5</v>
      </c>
      <c r="Z12" s="2">
        <v>5</v>
      </c>
    </row>
    <row r="13" spans="1:26" ht="22.5" customHeight="1" x14ac:dyDescent="0.4">
      <c r="A13" s="1">
        <v>46202.501892523149</v>
      </c>
      <c r="B13" s="2" t="s">
        <v>112</v>
      </c>
      <c r="C13" s="2">
        <v>1</v>
      </c>
      <c r="D13" s="2">
        <v>2</v>
      </c>
      <c r="E13" s="2" t="s">
        <v>108</v>
      </c>
      <c r="G13" s="2">
        <v>5</v>
      </c>
      <c r="H13" s="2">
        <v>5</v>
      </c>
      <c r="I13" s="2">
        <v>4</v>
      </c>
      <c r="J13" s="2">
        <v>5</v>
      </c>
      <c r="K13" s="2">
        <v>3</v>
      </c>
      <c r="L13" s="2">
        <v>3</v>
      </c>
      <c r="M13" s="2">
        <v>3</v>
      </c>
      <c r="N13" s="2">
        <v>4</v>
      </c>
      <c r="O13" s="2">
        <v>4</v>
      </c>
      <c r="P13" s="2">
        <v>4</v>
      </c>
      <c r="Q13" s="2">
        <v>3</v>
      </c>
      <c r="R13" s="2">
        <v>4</v>
      </c>
      <c r="S13" s="2">
        <v>4</v>
      </c>
      <c r="T13" s="2">
        <v>2</v>
      </c>
      <c r="U13" s="2">
        <v>3</v>
      </c>
      <c r="V13" s="2">
        <v>3</v>
      </c>
      <c r="W13" s="2">
        <v>3</v>
      </c>
      <c r="X13" s="2">
        <v>3</v>
      </c>
      <c r="Y13" s="2">
        <v>3</v>
      </c>
      <c r="Z13" s="2">
        <v>3</v>
      </c>
    </row>
    <row r="14" spans="1:26" ht="22.5" customHeight="1" x14ac:dyDescent="0.4">
      <c r="A14" s="1">
        <v>46203.93839570602</v>
      </c>
      <c r="B14" s="2" t="s">
        <v>112</v>
      </c>
      <c r="C14" s="2">
        <v>4</v>
      </c>
      <c r="D14" s="2">
        <v>4</v>
      </c>
      <c r="E14" s="2" t="s">
        <v>108</v>
      </c>
      <c r="F14" s="2" t="s">
        <v>174</v>
      </c>
      <c r="G14" s="2">
        <v>5</v>
      </c>
      <c r="H14" s="2">
        <v>3</v>
      </c>
      <c r="I14" s="2">
        <v>4</v>
      </c>
      <c r="J14" s="2">
        <v>5</v>
      </c>
      <c r="K14" s="2">
        <v>5</v>
      </c>
      <c r="L14" s="2">
        <v>3</v>
      </c>
      <c r="M14" s="2">
        <v>3</v>
      </c>
      <c r="N14" s="2">
        <v>3</v>
      </c>
      <c r="O14" s="2">
        <v>5</v>
      </c>
      <c r="P14" s="2">
        <v>3</v>
      </c>
      <c r="Q14" s="2">
        <v>4</v>
      </c>
      <c r="R14" s="2">
        <v>5</v>
      </c>
      <c r="S14" s="2">
        <v>5</v>
      </c>
      <c r="T14" s="2">
        <v>5</v>
      </c>
      <c r="U14" s="2">
        <v>5</v>
      </c>
      <c r="V14" s="2">
        <v>5</v>
      </c>
      <c r="W14" s="2">
        <v>5</v>
      </c>
      <c r="X14" s="2">
        <v>4</v>
      </c>
      <c r="Y14" s="2">
        <v>4</v>
      </c>
      <c r="Z14" s="2">
        <v>5</v>
      </c>
    </row>
    <row r="22" spans="1:33" ht="12.3" x14ac:dyDescent="0.4">
      <c r="G22">
        <f>((COLUMN()-7)*4)+7</f>
        <v>7</v>
      </c>
      <c r="H22">
        <f t="shared" ref="H22:K22" si="1">((COLUMN()-7)*4)+7</f>
        <v>11</v>
      </c>
      <c r="I22">
        <f t="shared" si="1"/>
        <v>15</v>
      </c>
      <c r="J22">
        <f t="shared" si="1"/>
        <v>19</v>
      </c>
      <c r="K22">
        <f t="shared" si="1"/>
        <v>23</v>
      </c>
    </row>
    <row r="23" spans="1:33" ht="12.3" x14ac:dyDescent="0.4">
      <c r="A23" s="6"/>
      <c r="E23" s="11" t="s">
        <v>145</v>
      </c>
      <c r="F23" s="11"/>
      <c r="G23" s="6" cm="1">
        <f t="array" ref="G23">INDEX($A:$EW,3,G$22)</f>
        <v>4.3</v>
      </c>
      <c r="H23" s="6" cm="1">
        <f t="array" ref="H23">INDEX($A:$EW,3,H$22)</f>
        <v>4.0999999999999996</v>
      </c>
      <c r="I23" s="6" cm="1">
        <f t="array" ref="I23">INDEX($A:$EW,3,I$22)</f>
        <v>4.4000000000000004</v>
      </c>
      <c r="J23" s="6" cm="1">
        <f t="array" ref="J23">INDEX($A:$EW,3,J$22)</f>
        <v>3.9</v>
      </c>
      <c r="K23" s="6" cm="1">
        <f t="array" ref="K23">INDEX($A:$CC,3,K$22)</f>
        <v>3.8</v>
      </c>
      <c r="L23" s="6"/>
    </row>
    <row r="24" spans="1:33" ht="12.3" x14ac:dyDescent="0.4">
      <c r="E24" s="11" t="s">
        <v>146</v>
      </c>
      <c r="F24" s="11"/>
      <c r="G24" s="6" cm="1">
        <f t="array" ref="G24">INDEX($A:$EW,3,G$22+1)</f>
        <v>4.3</v>
      </c>
      <c r="H24" s="6" cm="1">
        <f t="array" ref="H24">INDEX($A:$EW,3,H$22+1)</f>
        <v>3.4</v>
      </c>
      <c r="I24" s="6" cm="1">
        <f t="array" ref="I24">INDEX($A:$EW,3,I$22+1)</f>
        <v>4.3</v>
      </c>
      <c r="J24" s="6" cm="1">
        <f t="array" ref="J24">INDEX($A:$EW,3,J$22+1)</f>
        <v>3.5</v>
      </c>
      <c r="K24" s="6" cm="1">
        <f t="array" ref="K24">INDEX($A:$CC,3,K$22+1)</f>
        <v>3.5</v>
      </c>
      <c r="L24" s="6"/>
    </row>
    <row r="25" spans="1:33" ht="12.3" x14ac:dyDescent="0.4">
      <c r="E25" s="11" t="s">
        <v>144</v>
      </c>
      <c r="F25" s="11"/>
      <c r="G25" cm="1">
        <f t="array" ref="G25">INDEX($A:$EW,3,G$22+2)</f>
        <v>3.9</v>
      </c>
      <c r="H25" cm="1">
        <f t="array" ref="H25">INDEX($A:$EW,3,H$22+2)</f>
        <v>3.7</v>
      </c>
      <c r="I25" cm="1">
        <f t="array" ref="I25">INDEX($A:$EW,3,I$22+2)</f>
        <v>4.0999999999999996</v>
      </c>
      <c r="J25" cm="1">
        <f t="array" ref="J25">INDEX($A:$EW,3,J$22+2)</f>
        <v>3.6</v>
      </c>
      <c r="K25" cm="1">
        <f t="array" ref="K25">INDEX($A:$CC,3,K$22+2)</f>
        <v>3.8</v>
      </c>
    </row>
    <row r="26" spans="1:33" ht="12.3" x14ac:dyDescent="0.4">
      <c r="E26" s="11" t="s">
        <v>143</v>
      </c>
      <c r="F26" s="11"/>
      <c r="G26" cm="1">
        <f t="array" ref="G26">INDEX($A:$EW,3,G$22+3)</f>
        <v>4.2</v>
      </c>
      <c r="H26" cm="1">
        <f t="array" ref="H26">INDEX($A:$EW,3,H$22+3)</f>
        <v>3.7</v>
      </c>
      <c r="I26" cm="1">
        <f t="array" ref="I26">INDEX($A:$EW,3,I$22+3)</f>
        <v>4.4000000000000004</v>
      </c>
      <c r="J26" cm="1">
        <f t="array" ref="J26">INDEX($A:$EW,3,J$22+3)</f>
        <v>3.8</v>
      </c>
      <c r="K26" cm="1">
        <f t="array" ref="K26">INDEX($A:$CC,3,K$22+3)</f>
        <v>3.7</v>
      </c>
    </row>
    <row r="27" spans="1:33" s="4" customFormat="1" ht="12.3" x14ac:dyDescent="0.4">
      <c r="E27" s="12" t="s">
        <v>147</v>
      </c>
      <c r="F27" s="12"/>
      <c r="G27" s="7">
        <f t="shared" ref="G27:K27" si="2">AVERAGE(G23:G26)</f>
        <v>4.1749999999999998</v>
      </c>
      <c r="H27" s="7">
        <f t="shared" si="2"/>
        <v>3.7249999999999996</v>
      </c>
      <c r="I27" s="7">
        <f t="shared" si="2"/>
        <v>4.3</v>
      </c>
      <c r="J27" s="7">
        <f t="shared" si="2"/>
        <v>3.7</v>
      </c>
      <c r="K27" s="7">
        <f t="shared" si="2"/>
        <v>3.7</v>
      </c>
      <c r="L27" s="7"/>
    </row>
    <row r="28" spans="1:33" ht="12.3" x14ac:dyDescent="0.4">
      <c r="G28">
        <v>12</v>
      </c>
      <c r="H28">
        <v>13</v>
      </c>
      <c r="I28">
        <v>14</v>
      </c>
      <c r="J28">
        <v>15</v>
      </c>
      <c r="K28">
        <v>24</v>
      </c>
    </row>
    <row r="29" spans="1:33" ht="15.75" customHeight="1" x14ac:dyDescent="0.4">
      <c r="AE29">
        <v>25</v>
      </c>
      <c r="AF29" t="str">
        <f>CHAR(70+AE29)</f>
        <v>_</v>
      </c>
      <c r="AG29" t="s">
        <v>141</v>
      </c>
    </row>
    <row r="31" spans="1:33" ht="43.5" customHeight="1" x14ac:dyDescent="0.4">
      <c r="B31" s="8" t="str">
        <f>E23</f>
        <v xml:space="preserve"> Claridad técnica</v>
      </c>
      <c r="C31" s="8" t="str">
        <f>E24</f>
        <v>Nivel de dificultad adecuado</v>
      </c>
      <c r="D31" s="8" t="str">
        <f>E25</f>
        <v>Calidad de los distractores</v>
      </c>
      <c r="E31" s="8" t="str">
        <f>E26</f>
        <v>Validez pedagógica</v>
      </c>
      <c r="F31" s="8" t="s">
        <v>173</v>
      </c>
    </row>
    <row r="32" spans="1:33" ht="15.75" customHeight="1" x14ac:dyDescent="0.4">
      <c r="A32" t="s">
        <v>191</v>
      </c>
      <c r="B32" cm="1">
        <f t="array" ref="B32:B36">TRANSPOSE(G23:K23)</f>
        <v>4.3</v>
      </c>
      <c r="C32" cm="1">
        <f t="array" ref="C32:C36">TRANSPOSE(G24:K24)</f>
        <v>4.3</v>
      </c>
      <c r="D32" cm="1">
        <f t="array" ref="D32:D36">TRANSPOSE(G25:K25)</f>
        <v>3.9</v>
      </c>
      <c r="E32" cm="1">
        <f t="array" ref="E32:E36">TRANSPOSE(G26:K26)</f>
        <v>4.2</v>
      </c>
      <c r="F32" cm="1">
        <f t="array" ref="F32:F36">TRANSPOSE(G27:K27)</f>
        <v>4.1749999999999998</v>
      </c>
    </row>
    <row r="33" spans="1:6" ht="15.75" customHeight="1" x14ac:dyDescent="0.4">
      <c r="A33" t="s">
        <v>192</v>
      </c>
      <c r="B33">
        <v>4.0999999999999996</v>
      </c>
      <c r="C33">
        <v>3.4</v>
      </c>
      <c r="D33">
        <v>3.7</v>
      </c>
      <c r="E33">
        <v>3.7</v>
      </c>
      <c r="F33">
        <v>3.7249999999999996</v>
      </c>
    </row>
    <row r="34" spans="1:6" ht="15.75" customHeight="1" x14ac:dyDescent="0.4">
      <c r="A34" t="s">
        <v>193</v>
      </c>
      <c r="B34">
        <v>4.4000000000000004</v>
      </c>
      <c r="C34">
        <v>4.3</v>
      </c>
      <c r="D34">
        <v>4.0999999999999996</v>
      </c>
      <c r="E34">
        <v>4.4000000000000004</v>
      </c>
      <c r="F34">
        <v>4.3</v>
      </c>
    </row>
    <row r="35" spans="1:6" ht="15.75" customHeight="1" x14ac:dyDescent="0.4">
      <c r="A35" t="s">
        <v>194</v>
      </c>
      <c r="B35">
        <v>3.9</v>
      </c>
      <c r="C35">
        <v>3.5</v>
      </c>
      <c r="D35">
        <v>3.6</v>
      </c>
      <c r="E35">
        <v>3.8</v>
      </c>
      <c r="F35">
        <v>3.7</v>
      </c>
    </row>
    <row r="36" spans="1:6" ht="15.75" customHeight="1" x14ac:dyDescent="0.4">
      <c r="A36" t="s">
        <v>195</v>
      </c>
      <c r="B36">
        <v>3.8</v>
      </c>
      <c r="C36">
        <v>3.5</v>
      </c>
      <c r="D36">
        <v>3.8</v>
      </c>
      <c r="E36">
        <v>3.7</v>
      </c>
      <c r="F36">
        <v>3.7</v>
      </c>
    </row>
    <row r="37" spans="1:6" ht="15.75" customHeight="1" x14ac:dyDescent="0.4">
      <c r="A37" t="s">
        <v>173</v>
      </c>
      <c r="B37">
        <f t="shared" ref="B37:E37" si="3">AVERAGE(_xlfn.ANCHORARRAY(B32))</f>
        <v>4.0999999999999996</v>
      </c>
      <c r="C37">
        <f t="shared" si="3"/>
        <v>3.8</v>
      </c>
      <c r="D37">
        <f t="shared" si="3"/>
        <v>3.8199999999999994</v>
      </c>
      <c r="E37">
        <f t="shared" si="3"/>
        <v>3.96</v>
      </c>
      <c r="F37" s="4">
        <f>AVERAGE(_xlfn.ANCHORARRAY(F32))</f>
        <v>3.9199999999999995</v>
      </c>
    </row>
  </sheetData>
  <mergeCells count="15">
    <mergeCell ref="E23:F23"/>
    <mergeCell ref="E24:F24"/>
    <mergeCell ref="E25:F25"/>
    <mergeCell ref="E26:F26"/>
    <mergeCell ref="E27:F27"/>
    <mergeCell ref="G1:J1"/>
    <mergeCell ref="K1:N1"/>
    <mergeCell ref="O1:R1"/>
    <mergeCell ref="S1:V1"/>
    <mergeCell ref="W1:Z1"/>
    <mergeCell ref="G2:J2"/>
    <mergeCell ref="K2:N2"/>
    <mergeCell ref="O2:R2"/>
    <mergeCell ref="S2:V2"/>
    <mergeCell ref="W2:Z2"/>
  </mergeCells>
  <pageMargins left="0.7" right="0.7" top="0.75" bottom="0.75" header="0.3" footer="0.3"/>
  <drawing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BAFA27-29AF-460D-8204-B5D81D8CBF80}">
  <sheetPr>
    <outlinePr summaryBelow="0" summaryRight="0"/>
  </sheetPr>
  <dimension ref="A1:AG37"/>
  <sheetViews>
    <sheetView workbookViewId="0">
      <pane ySplit="4" topLeftCell="A21" activePane="bottomLeft" state="frozen"/>
      <selection pane="bottomLeft" activeCell="A37" sqref="A37:F37"/>
    </sheetView>
  </sheetViews>
  <sheetFormatPr baseColWidth="10" defaultColWidth="12.609375" defaultRowHeight="15.75" customHeight="1" x14ac:dyDescent="0.4"/>
  <cols>
    <col min="1" max="6" width="10.609375" customWidth="1"/>
    <col min="7" max="26" width="7.609375" customWidth="1"/>
    <col min="27" max="33" width="18.88671875" customWidth="1"/>
    <col min="34" max="34" width="11" customWidth="1"/>
    <col min="35" max="58" width="5.609375" customWidth="1"/>
  </cols>
  <sheetData>
    <row r="1" spans="1:26" ht="15.75" customHeight="1" x14ac:dyDescent="0.4">
      <c r="G1" s="13" t="s">
        <v>121</v>
      </c>
      <c r="H1" s="13"/>
      <c r="I1" s="13"/>
      <c r="J1" s="13"/>
      <c r="K1" s="13" t="s">
        <v>122</v>
      </c>
      <c r="L1" s="13"/>
      <c r="M1" s="13"/>
      <c r="N1" s="13"/>
      <c r="O1" s="13" t="s">
        <v>131</v>
      </c>
      <c r="P1" s="13"/>
      <c r="Q1" s="13"/>
      <c r="R1" s="13"/>
      <c r="S1" s="13" t="s">
        <v>134</v>
      </c>
      <c r="T1" s="13"/>
      <c r="U1" s="13"/>
      <c r="V1" s="13"/>
      <c r="W1" s="13" t="s">
        <v>137</v>
      </c>
      <c r="X1" s="13"/>
      <c r="Y1" s="13"/>
      <c r="Z1" s="13"/>
    </row>
    <row r="2" spans="1:26" ht="15.75" customHeight="1" x14ac:dyDescent="0.4">
      <c r="F2" s="4">
        <f>ROUND(AVERAGE(G3:Z3),2)</f>
        <v>3.78</v>
      </c>
      <c r="G2" s="13">
        <f>ROUND(AVERAGE(G3:J3),2)</f>
        <v>3.25</v>
      </c>
      <c r="H2" s="13"/>
      <c r="I2" s="13"/>
      <c r="J2" s="13"/>
      <c r="K2" s="13">
        <f>ROUND(AVERAGE(K3:N3),2)</f>
        <v>3.93</v>
      </c>
      <c r="L2" s="13"/>
      <c r="M2" s="13"/>
      <c r="N2" s="13"/>
      <c r="O2" s="13">
        <f>ROUND(AVERAGE(O3:R3),2)</f>
        <v>3.9</v>
      </c>
      <c r="P2" s="13"/>
      <c r="Q2" s="13"/>
      <c r="R2" s="13"/>
      <c r="S2" s="13">
        <f>ROUND(AVERAGE(S3:V3),2)</f>
        <v>4.08</v>
      </c>
      <c r="T2" s="13"/>
      <c r="U2" s="13"/>
      <c r="V2" s="13"/>
      <c r="W2" s="13">
        <f>ROUND(AVERAGE(W3:Z3),2)</f>
        <v>3.73</v>
      </c>
      <c r="X2" s="13"/>
      <c r="Y2" s="13"/>
      <c r="Z2" s="13"/>
    </row>
    <row r="3" spans="1:26" ht="15.75" customHeight="1" x14ac:dyDescent="0.4">
      <c r="C3">
        <f>ROUND(AVERAGE(C5:C30),2)</f>
        <v>3.8</v>
      </c>
      <c r="D3">
        <f>ROUND(AVERAGE(D5:D30),2)</f>
        <v>4.0999999999999996</v>
      </c>
      <c r="G3">
        <f t="shared" ref="G3:Z3" si="0">ROUND(AVERAGE(G5:G20),2)</f>
        <v>3.7</v>
      </c>
      <c r="H3">
        <f t="shared" si="0"/>
        <v>3</v>
      </c>
      <c r="I3">
        <f t="shared" si="0"/>
        <v>3.1</v>
      </c>
      <c r="J3">
        <f t="shared" si="0"/>
        <v>3.2</v>
      </c>
      <c r="K3">
        <f t="shared" si="0"/>
        <v>4</v>
      </c>
      <c r="L3">
        <f t="shared" si="0"/>
        <v>3.7</v>
      </c>
      <c r="M3">
        <f t="shared" si="0"/>
        <v>3.9</v>
      </c>
      <c r="N3">
        <f t="shared" si="0"/>
        <v>4.0999999999999996</v>
      </c>
      <c r="O3">
        <f t="shared" si="0"/>
        <v>4</v>
      </c>
      <c r="P3">
        <f t="shared" si="0"/>
        <v>3.7</v>
      </c>
      <c r="Q3">
        <f t="shared" si="0"/>
        <v>3.6</v>
      </c>
      <c r="R3">
        <f t="shared" si="0"/>
        <v>4.3</v>
      </c>
      <c r="S3">
        <f t="shared" si="0"/>
        <v>4.4000000000000004</v>
      </c>
      <c r="T3">
        <f t="shared" si="0"/>
        <v>3.8</v>
      </c>
      <c r="U3">
        <f t="shared" si="0"/>
        <v>3.9</v>
      </c>
      <c r="V3">
        <f t="shared" si="0"/>
        <v>4.2</v>
      </c>
      <c r="W3">
        <f t="shared" si="0"/>
        <v>3.8</v>
      </c>
      <c r="X3">
        <f t="shared" si="0"/>
        <v>3.7</v>
      </c>
      <c r="Y3">
        <f t="shared" si="0"/>
        <v>3.5</v>
      </c>
      <c r="Z3">
        <f t="shared" si="0"/>
        <v>3.9</v>
      </c>
    </row>
    <row r="4" spans="1:26" ht="22.5" customHeight="1" x14ac:dyDescent="0.4">
      <c r="A4" s="3" t="s">
        <v>0</v>
      </c>
      <c r="B4" s="3" t="s">
        <v>1</v>
      </c>
      <c r="C4" s="3" t="s">
        <v>2</v>
      </c>
      <c r="D4" s="3" t="s">
        <v>3</v>
      </c>
      <c r="E4" s="3" t="s">
        <v>8</v>
      </c>
      <c r="F4" s="3" t="s">
        <v>9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26</v>
      </c>
      <c r="L4" s="3" t="s">
        <v>27</v>
      </c>
      <c r="M4" s="3" t="s">
        <v>28</v>
      </c>
      <c r="N4" s="3" t="s">
        <v>29</v>
      </c>
      <c r="O4" s="3" t="s">
        <v>62</v>
      </c>
      <c r="P4" s="3" t="s">
        <v>63</v>
      </c>
      <c r="Q4" s="3" t="s">
        <v>64</v>
      </c>
      <c r="R4" s="3" t="s">
        <v>65</v>
      </c>
      <c r="S4" s="3" t="s">
        <v>74</v>
      </c>
      <c r="T4" s="3" t="s">
        <v>75</v>
      </c>
      <c r="U4" s="3" t="s">
        <v>76</v>
      </c>
      <c r="V4" s="3" t="s">
        <v>77</v>
      </c>
      <c r="W4" s="3" t="s">
        <v>86</v>
      </c>
      <c r="X4" s="3" t="s">
        <v>87</v>
      </c>
      <c r="Y4" s="3" t="s">
        <v>88</v>
      </c>
      <c r="Z4" s="3" t="s">
        <v>89</v>
      </c>
    </row>
    <row r="5" spans="1:26" ht="22.5" customHeight="1" x14ac:dyDescent="0.4">
      <c r="A5" s="1">
        <v>46197.104298391205</v>
      </c>
      <c r="B5" s="2" t="s">
        <v>107</v>
      </c>
      <c r="C5" s="2">
        <v>5</v>
      </c>
      <c r="D5" s="2">
        <v>5</v>
      </c>
      <c r="E5" s="2" t="s">
        <v>108</v>
      </c>
      <c r="F5" s="2" t="s">
        <v>109</v>
      </c>
      <c r="G5" s="2">
        <v>5</v>
      </c>
      <c r="H5" s="2">
        <v>4</v>
      </c>
      <c r="I5" s="2">
        <v>5</v>
      </c>
      <c r="J5" s="2">
        <v>5</v>
      </c>
      <c r="K5" s="2">
        <v>5</v>
      </c>
      <c r="L5" s="2">
        <v>5</v>
      </c>
      <c r="M5" s="2">
        <v>5</v>
      </c>
      <c r="N5" s="2">
        <v>5</v>
      </c>
      <c r="O5" s="2">
        <v>5</v>
      </c>
      <c r="P5" s="2">
        <v>5</v>
      </c>
      <c r="Q5" s="2">
        <v>5</v>
      </c>
      <c r="R5" s="2">
        <v>5</v>
      </c>
      <c r="S5" s="2">
        <v>5</v>
      </c>
      <c r="T5" s="2">
        <v>5</v>
      </c>
      <c r="U5" s="2">
        <v>4</v>
      </c>
      <c r="V5" s="2">
        <v>5</v>
      </c>
      <c r="W5" s="2">
        <v>4</v>
      </c>
      <c r="X5" s="2">
        <v>4</v>
      </c>
      <c r="Y5" s="2">
        <v>2</v>
      </c>
      <c r="Z5" s="2">
        <v>4</v>
      </c>
    </row>
    <row r="6" spans="1:26" ht="22.5" customHeight="1" x14ac:dyDescent="0.4">
      <c r="A6" s="1">
        <v>46197.602006956018</v>
      </c>
      <c r="B6" s="2" t="s">
        <v>107</v>
      </c>
      <c r="C6" s="2">
        <v>5</v>
      </c>
      <c r="D6" s="2">
        <v>4</v>
      </c>
      <c r="E6" s="2" t="s">
        <v>108</v>
      </c>
      <c r="G6" s="2">
        <v>5</v>
      </c>
      <c r="H6" s="2">
        <v>3</v>
      </c>
      <c r="I6" s="2">
        <v>2</v>
      </c>
      <c r="J6" s="2">
        <v>3</v>
      </c>
      <c r="K6" s="2">
        <v>4</v>
      </c>
      <c r="L6" s="2">
        <v>3</v>
      </c>
      <c r="M6" s="2">
        <v>4</v>
      </c>
      <c r="N6" s="2">
        <v>5</v>
      </c>
      <c r="O6" s="2">
        <v>5</v>
      </c>
      <c r="P6" s="2">
        <v>5</v>
      </c>
      <c r="Q6" s="2">
        <v>5</v>
      </c>
      <c r="R6" s="2">
        <v>5</v>
      </c>
      <c r="S6" s="2">
        <v>5</v>
      </c>
      <c r="T6" s="2">
        <v>3</v>
      </c>
      <c r="U6" s="2">
        <v>4</v>
      </c>
      <c r="V6" s="2">
        <v>4</v>
      </c>
      <c r="W6" s="2">
        <v>4</v>
      </c>
      <c r="X6" s="2">
        <v>3</v>
      </c>
      <c r="Y6" s="2">
        <v>4</v>
      </c>
      <c r="Z6" s="2">
        <v>3</v>
      </c>
    </row>
    <row r="7" spans="1:26" ht="22.5" customHeight="1" x14ac:dyDescent="0.4">
      <c r="A7" s="1">
        <v>46197.619040937498</v>
      </c>
      <c r="B7" s="2" t="s">
        <v>112</v>
      </c>
      <c r="C7" s="2">
        <v>5</v>
      </c>
      <c r="D7" s="2">
        <v>5</v>
      </c>
      <c r="E7" s="2" t="s">
        <v>108</v>
      </c>
      <c r="G7" s="2">
        <v>3</v>
      </c>
      <c r="H7" s="2">
        <v>3</v>
      </c>
      <c r="I7" s="2">
        <v>2</v>
      </c>
      <c r="J7" s="2">
        <v>2</v>
      </c>
      <c r="K7" s="2">
        <v>3</v>
      </c>
      <c r="L7" s="2">
        <v>3</v>
      </c>
      <c r="M7" s="2">
        <v>2</v>
      </c>
      <c r="N7" s="2">
        <v>3</v>
      </c>
      <c r="O7" s="2">
        <v>3</v>
      </c>
      <c r="P7" s="2">
        <v>3</v>
      </c>
      <c r="Q7" s="2">
        <v>2</v>
      </c>
      <c r="R7" s="2">
        <v>3</v>
      </c>
      <c r="S7" s="2">
        <v>3</v>
      </c>
      <c r="T7" s="2">
        <v>3</v>
      </c>
      <c r="U7" s="2">
        <v>3</v>
      </c>
      <c r="V7" s="2">
        <v>3</v>
      </c>
      <c r="W7" s="2">
        <v>3</v>
      </c>
      <c r="X7" s="2">
        <v>3</v>
      </c>
      <c r="Y7" s="2">
        <v>3</v>
      </c>
      <c r="Z7" s="2">
        <v>3</v>
      </c>
    </row>
    <row r="8" spans="1:26" ht="22.5" customHeight="1" x14ac:dyDescent="0.4">
      <c r="A8" s="1">
        <v>46198.52585366898</v>
      </c>
      <c r="B8" s="2" t="s">
        <v>113</v>
      </c>
      <c r="C8" s="2">
        <v>3</v>
      </c>
      <c r="D8" s="2">
        <v>4</v>
      </c>
      <c r="E8" s="2" t="s">
        <v>108</v>
      </c>
      <c r="G8" s="2">
        <v>2</v>
      </c>
      <c r="H8" s="2">
        <v>1</v>
      </c>
      <c r="I8" s="2">
        <v>2</v>
      </c>
      <c r="J8" s="2">
        <v>2</v>
      </c>
      <c r="K8" s="2">
        <v>4</v>
      </c>
      <c r="L8" s="2">
        <v>4</v>
      </c>
      <c r="M8" s="2">
        <v>5</v>
      </c>
      <c r="N8" s="2">
        <v>4</v>
      </c>
      <c r="O8" s="2">
        <v>5</v>
      </c>
      <c r="P8" s="2">
        <v>5</v>
      </c>
      <c r="Q8" s="2">
        <v>2</v>
      </c>
      <c r="R8" s="2">
        <v>5</v>
      </c>
      <c r="S8" s="2">
        <v>5</v>
      </c>
      <c r="T8" s="2">
        <v>5</v>
      </c>
      <c r="U8" s="2">
        <v>4</v>
      </c>
      <c r="V8" s="2">
        <v>5</v>
      </c>
      <c r="W8" s="2">
        <v>3</v>
      </c>
      <c r="X8" s="2">
        <v>4</v>
      </c>
      <c r="Y8" s="2">
        <v>3</v>
      </c>
      <c r="Z8" s="2">
        <v>5</v>
      </c>
    </row>
    <row r="9" spans="1:26" ht="22.5" customHeight="1" x14ac:dyDescent="0.4">
      <c r="A9" s="1">
        <v>46198.72461863426</v>
      </c>
      <c r="B9" s="2" t="s">
        <v>113</v>
      </c>
      <c r="C9" s="2">
        <v>4</v>
      </c>
      <c r="D9" s="2">
        <v>5</v>
      </c>
      <c r="E9" s="2" t="s">
        <v>108</v>
      </c>
      <c r="G9" s="2">
        <v>3</v>
      </c>
      <c r="H9" s="2">
        <v>3</v>
      </c>
      <c r="I9" s="2">
        <v>3</v>
      </c>
      <c r="J9" s="2">
        <v>3</v>
      </c>
      <c r="K9" s="2">
        <v>3</v>
      </c>
      <c r="L9" s="2">
        <v>3</v>
      </c>
      <c r="M9" s="2">
        <v>3</v>
      </c>
      <c r="N9" s="2">
        <v>3</v>
      </c>
      <c r="O9" s="2">
        <v>3</v>
      </c>
      <c r="P9" s="2">
        <v>4</v>
      </c>
      <c r="Q9" s="2">
        <v>4</v>
      </c>
      <c r="R9" s="2">
        <v>5</v>
      </c>
      <c r="S9" s="2">
        <v>4</v>
      </c>
      <c r="T9" s="2">
        <v>4</v>
      </c>
      <c r="U9" s="2">
        <v>4</v>
      </c>
      <c r="V9" s="2">
        <v>4</v>
      </c>
      <c r="W9" s="2">
        <v>3</v>
      </c>
      <c r="X9" s="2">
        <v>3</v>
      </c>
      <c r="Y9" s="2">
        <v>3</v>
      </c>
      <c r="Z9" s="2">
        <v>3</v>
      </c>
    </row>
    <row r="10" spans="1:26" ht="22.5" customHeight="1" x14ac:dyDescent="0.4">
      <c r="A10" s="1">
        <v>46200.888591238428</v>
      </c>
      <c r="B10" s="2" t="s">
        <v>113</v>
      </c>
      <c r="C10" s="2">
        <v>2</v>
      </c>
      <c r="D10" s="2">
        <v>3</v>
      </c>
      <c r="E10" s="2" t="s">
        <v>108</v>
      </c>
      <c r="F10" s="2" t="s">
        <v>115</v>
      </c>
      <c r="G10" s="2">
        <v>4</v>
      </c>
      <c r="H10" s="2">
        <v>2</v>
      </c>
      <c r="I10" s="2">
        <v>4</v>
      </c>
      <c r="J10" s="2">
        <v>4</v>
      </c>
      <c r="K10" s="2">
        <v>4</v>
      </c>
      <c r="L10" s="2">
        <v>4</v>
      </c>
      <c r="M10" s="2">
        <v>4</v>
      </c>
      <c r="N10" s="2">
        <v>4</v>
      </c>
      <c r="O10" s="2">
        <v>4</v>
      </c>
      <c r="P10" s="2">
        <v>4</v>
      </c>
      <c r="Q10" s="2">
        <v>4</v>
      </c>
      <c r="R10" s="2">
        <v>4</v>
      </c>
      <c r="S10" s="2">
        <v>3</v>
      </c>
      <c r="T10" s="2">
        <v>3</v>
      </c>
      <c r="U10" s="2">
        <v>3</v>
      </c>
      <c r="V10" s="2">
        <v>3</v>
      </c>
      <c r="W10" s="2">
        <v>4</v>
      </c>
      <c r="X10" s="2">
        <v>4</v>
      </c>
      <c r="Y10" s="2">
        <v>4</v>
      </c>
      <c r="Z10" s="2">
        <v>4</v>
      </c>
    </row>
    <row r="11" spans="1:26" ht="22.5" customHeight="1" x14ac:dyDescent="0.4">
      <c r="A11" s="1">
        <v>46201.966827789351</v>
      </c>
      <c r="B11" s="2" t="s">
        <v>107</v>
      </c>
      <c r="C11" s="2">
        <v>4</v>
      </c>
      <c r="D11" s="2">
        <v>4</v>
      </c>
      <c r="E11" s="2" t="s">
        <v>108</v>
      </c>
      <c r="F11" s="2" t="s">
        <v>116</v>
      </c>
      <c r="G11" s="2">
        <v>4</v>
      </c>
      <c r="H11" s="2">
        <v>4</v>
      </c>
      <c r="I11" s="2">
        <v>4</v>
      </c>
      <c r="J11" s="2">
        <v>4</v>
      </c>
      <c r="K11" s="2">
        <v>4</v>
      </c>
      <c r="L11" s="2">
        <v>4</v>
      </c>
      <c r="M11" s="2">
        <v>4</v>
      </c>
      <c r="N11" s="2">
        <v>4</v>
      </c>
      <c r="O11" s="2">
        <v>3</v>
      </c>
      <c r="P11" s="2">
        <v>3</v>
      </c>
      <c r="Q11" s="2">
        <v>3</v>
      </c>
      <c r="R11" s="2">
        <v>4</v>
      </c>
      <c r="S11" s="2">
        <v>4</v>
      </c>
      <c r="T11" s="2">
        <v>3</v>
      </c>
      <c r="U11" s="2">
        <v>4</v>
      </c>
      <c r="V11" s="2">
        <v>4</v>
      </c>
      <c r="W11" s="2">
        <v>4</v>
      </c>
      <c r="X11" s="2">
        <v>4</v>
      </c>
      <c r="Y11" s="2">
        <v>4</v>
      </c>
      <c r="Z11" s="2">
        <v>4</v>
      </c>
    </row>
    <row r="12" spans="1:26" ht="22.5" customHeight="1" x14ac:dyDescent="0.4">
      <c r="A12" s="1">
        <v>46202.463702719906</v>
      </c>
      <c r="B12" s="2" t="s">
        <v>112</v>
      </c>
      <c r="C12" s="2">
        <v>5</v>
      </c>
      <c r="D12" s="2">
        <v>5</v>
      </c>
      <c r="E12" s="2" t="s">
        <v>108</v>
      </c>
      <c r="G12" s="2">
        <v>4</v>
      </c>
      <c r="H12" s="2">
        <v>4</v>
      </c>
      <c r="I12" s="2">
        <v>4</v>
      </c>
      <c r="J12" s="2">
        <v>4</v>
      </c>
      <c r="K12" s="2">
        <v>5</v>
      </c>
      <c r="L12" s="2">
        <v>5</v>
      </c>
      <c r="M12" s="2">
        <v>5</v>
      </c>
      <c r="N12" s="2">
        <v>5</v>
      </c>
      <c r="O12" s="2">
        <v>4</v>
      </c>
      <c r="P12" s="2">
        <v>3</v>
      </c>
      <c r="Q12" s="2">
        <v>4</v>
      </c>
      <c r="R12" s="2">
        <v>5</v>
      </c>
      <c r="S12" s="2">
        <v>5</v>
      </c>
      <c r="T12" s="2">
        <v>4</v>
      </c>
      <c r="U12" s="2">
        <v>4</v>
      </c>
      <c r="V12" s="2">
        <v>4</v>
      </c>
      <c r="W12" s="2">
        <v>5</v>
      </c>
      <c r="X12" s="2">
        <v>5</v>
      </c>
      <c r="Y12" s="2">
        <v>5</v>
      </c>
      <c r="Z12" s="2">
        <v>5</v>
      </c>
    </row>
    <row r="13" spans="1:26" ht="22.5" customHeight="1" x14ac:dyDescent="0.4">
      <c r="A13" s="1">
        <v>46202.501892523149</v>
      </c>
      <c r="B13" s="2" t="s">
        <v>112</v>
      </c>
      <c r="C13" s="2">
        <v>1</v>
      </c>
      <c r="D13" s="2">
        <v>2</v>
      </c>
      <c r="E13" s="2" t="s">
        <v>108</v>
      </c>
      <c r="G13" s="2">
        <v>3</v>
      </c>
      <c r="H13" s="2">
        <v>3</v>
      </c>
      <c r="I13" s="2">
        <v>2</v>
      </c>
      <c r="J13" s="2">
        <v>2</v>
      </c>
      <c r="K13" s="2">
        <v>3</v>
      </c>
      <c r="L13" s="2">
        <v>3</v>
      </c>
      <c r="M13" s="2">
        <v>3</v>
      </c>
      <c r="N13" s="2">
        <v>3</v>
      </c>
      <c r="O13" s="2">
        <v>3</v>
      </c>
      <c r="P13" s="2">
        <v>2</v>
      </c>
      <c r="Q13" s="2">
        <v>3</v>
      </c>
      <c r="R13" s="2">
        <v>2</v>
      </c>
      <c r="S13" s="2">
        <v>5</v>
      </c>
      <c r="T13" s="2">
        <v>4</v>
      </c>
      <c r="U13" s="2">
        <v>4</v>
      </c>
      <c r="V13" s="2">
        <v>5</v>
      </c>
      <c r="W13" s="2">
        <v>3</v>
      </c>
      <c r="X13" s="2">
        <v>3</v>
      </c>
      <c r="Y13" s="2">
        <v>3</v>
      </c>
      <c r="Z13" s="2">
        <v>3</v>
      </c>
    </row>
    <row r="14" spans="1:26" ht="22.5" customHeight="1" x14ac:dyDescent="0.4">
      <c r="A14" s="1">
        <v>46203.93839570602</v>
      </c>
      <c r="B14" s="2" t="s">
        <v>112</v>
      </c>
      <c r="C14" s="2">
        <v>4</v>
      </c>
      <c r="D14" s="2">
        <v>4</v>
      </c>
      <c r="E14" s="2" t="s">
        <v>108</v>
      </c>
      <c r="F14" s="2" t="s">
        <v>174</v>
      </c>
      <c r="G14" s="2">
        <v>4</v>
      </c>
      <c r="H14" s="2">
        <v>3</v>
      </c>
      <c r="I14" s="2">
        <v>3</v>
      </c>
      <c r="J14" s="2">
        <v>3</v>
      </c>
      <c r="K14" s="2">
        <v>5</v>
      </c>
      <c r="L14" s="2">
        <v>3</v>
      </c>
      <c r="M14" s="2">
        <v>4</v>
      </c>
      <c r="N14" s="2">
        <v>5</v>
      </c>
      <c r="O14" s="2">
        <v>5</v>
      </c>
      <c r="P14" s="2">
        <v>3</v>
      </c>
      <c r="Q14" s="2">
        <v>4</v>
      </c>
      <c r="R14" s="2">
        <v>5</v>
      </c>
      <c r="S14" s="2">
        <v>5</v>
      </c>
      <c r="T14" s="2">
        <v>4</v>
      </c>
      <c r="U14" s="2">
        <v>5</v>
      </c>
      <c r="V14" s="2">
        <v>5</v>
      </c>
      <c r="W14" s="2">
        <v>5</v>
      </c>
      <c r="X14" s="2">
        <v>4</v>
      </c>
      <c r="Y14" s="2">
        <v>4</v>
      </c>
      <c r="Z14" s="2">
        <v>5</v>
      </c>
    </row>
    <row r="22" spans="1:33" ht="12.3" x14ac:dyDescent="0.4">
      <c r="G22">
        <f>((COLUMN()-7)*4)+7</f>
        <v>7</v>
      </c>
      <c r="H22">
        <f t="shared" ref="H22:K22" si="1">((COLUMN()-7)*4)+7</f>
        <v>11</v>
      </c>
      <c r="I22">
        <f t="shared" si="1"/>
        <v>15</v>
      </c>
      <c r="J22">
        <f t="shared" si="1"/>
        <v>19</v>
      </c>
      <c r="K22">
        <f t="shared" si="1"/>
        <v>23</v>
      </c>
    </row>
    <row r="23" spans="1:33" ht="12.3" x14ac:dyDescent="0.4">
      <c r="A23" s="6"/>
      <c r="E23" s="11" t="s">
        <v>145</v>
      </c>
      <c r="F23" s="11"/>
      <c r="G23" s="6" cm="1">
        <f t="array" ref="G23">INDEX($A:$EW,3,G$22)</f>
        <v>3.7</v>
      </c>
      <c r="H23" s="6" cm="1">
        <f t="array" ref="H23">INDEX($A:$EW,3,H$22)</f>
        <v>4</v>
      </c>
      <c r="I23" s="6" cm="1">
        <f t="array" ref="I23">INDEX($A:$EW,3,I$22)</f>
        <v>4</v>
      </c>
      <c r="J23" s="6" cm="1">
        <f t="array" ref="J23">INDEX($A:$EW,3,J$22)</f>
        <v>4.4000000000000004</v>
      </c>
      <c r="K23" s="6" cm="1">
        <f t="array" ref="K23">INDEX($A:$CC,3,K$22)</f>
        <v>3.8</v>
      </c>
      <c r="L23" s="6"/>
    </row>
    <row r="24" spans="1:33" ht="12.3" x14ac:dyDescent="0.4">
      <c r="E24" s="11" t="s">
        <v>146</v>
      </c>
      <c r="F24" s="11"/>
      <c r="G24" s="6" cm="1">
        <f t="array" ref="G24">INDEX($A:$EW,3,G$22+1)</f>
        <v>3</v>
      </c>
      <c r="H24" s="6" cm="1">
        <f t="array" ref="H24">INDEX($A:$EW,3,H$22+1)</f>
        <v>3.7</v>
      </c>
      <c r="I24" s="6" cm="1">
        <f t="array" ref="I24">INDEX($A:$EW,3,I$22+1)</f>
        <v>3.7</v>
      </c>
      <c r="J24" s="6" cm="1">
        <f t="array" ref="J24">INDEX($A:$EW,3,J$22+1)</f>
        <v>3.8</v>
      </c>
      <c r="K24" s="6" cm="1">
        <f t="array" ref="K24">INDEX($A:$CC,3,K$22+1)</f>
        <v>3.7</v>
      </c>
      <c r="L24" s="6"/>
    </row>
    <row r="25" spans="1:33" ht="12.3" x14ac:dyDescent="0.4">
      <c r="E25" s="11" t="s">
        <v>144</v>
      </c>
      <c r="F25" s="11"/>
      <c r="G25" cm="1">
        <f t="array" ref="G25">INDEX($A:$EW,3,G$22+2)</f>
        <v>3.1</v>
      </c>
      <c r="H25" cm="1">
        <f t="array" ref="H25">INDEX($A:$EW,3,H$22+2)</f>
        <v>3.9</v>
      </c>
      <c r="I25" cm="1">
        <f t="array" ref="I25">INDEX($A:$EW,3,I$22+2)</f>
        <v>3.6</v>
      </c>
      <c r="J25" cm="1">
        <f t="array" ref="J25">INDEX($A:$EW,3,J$22+2)</f>
        <v>3.9</v>
      </c>
      <c r="K25" cm="1">
        <f t="array" ref="K25">INDEX($A:$CC,3,K$22+2)</f>
        <v>3.5</v>
      </c>
    </row>
    <row r="26" spans="1:33" ht="12.3" x14ac:dyDescent="0.4">
      <c r="E26" s="11" t="s">
        <v>143</v>
      </c>
      <c r="F26" s="11"/>
      <c r="G26" cm="1">
        <f t="array" ref="G26">INDEX($A:$EW,3,G$22+3)</f>
        <v>3.2</v>
      </c>
      <c r="H26" cm="1">
        <f t="array" ref="H26">INDEX($A:$EW,3,H$22+3)</f>
        <v>4.0999999999999996</v>
      </c>
      <c r="I26" cm="1">
        <f t="array" ref="I26">INDEX($A:$EW,3,I$22+3)</f>
        <v>4.3</v>
      </c>
      <c r="J26" cm="1">
        <f t="array" ref="J26">INDEX($A:$EW,3,J$22+3)</f>
        <v>4.2</v>
      </c>
      <c r="K26" cm="1">
        <f t="array" ref="K26">INDEX($A:$CC,3,K$22+3)</f>
        <v>3.9</v>
      </c>
    </row>
    <row r="27" spans="1:33" s="4" customFormat="1" ht="12.3" x14ac:dyDescent="0.4">
      <c r="E27" s="12" t="s">
        <v>147</v>
      </c>
      <c r="F27" s="12"/>
      <c r="G27" s="7">
        <f t="shared" ref="G27:K27" si="2">AVERAGE(G23:G26)</f>
        <v>3.25</v>
      </c>
      <c r="H27" s="7">
        <f t="shared" si="2"/>
        <v>3.9249999999999998</v>
      </c>
      <c r="I27" s="7">
        <f t="shared" si="2"/>
        <v>3.9000000000000004</v>
      </c>
      <c r="J27" s="7">
        <f t="shared" si="2"/>
        <v>4.0750000000000002</v>
      </c>
      <c r="K27" s="7">
        <f t="shared" si="2"/>
        <v>3.7250000000000001</v>
      </c>
      <c r="L27" s="7"/>
    </row>
    <row r="28" spans="1:33" ht="12.3" x14ac:dyDescent="0.4">
      <c r="G28">
        <v>12</v>
      </c>
      <c r="H28">
        <v>13</v>
      </c>
      <c r="I28">
        <v>14</v>
      </c>
      <c r="J28">
        <v>15</v>
      </c>
      <c r="K28">
        <v>24</v>
      </c>
    </row>
    <row r="29" spans="1:33" ht="15.75" customHeight="1" x14ac:dyDescent="0.4">
      <c r="AE29">
        <v>25</v>
      </c>
      <c r="AF29" t="str">
        <f>CHAR(70+AE29)</f>
        <v>_</v>
      </c>
      <c r="AG29" t="s">
        <v>141</v>
      </c>
    </row>
    <row r="31" spans="1:33" ht="43.5" customHeight="1" x14ac:dyDescent="0.4">
      <c r="B31" s="8" t="str">
        <f>E23</f>
        <v xml:space="preserve"> Claridad técnica</v>
      </c>
      <c r="C31" s="8" t="str">
        <f>E24</f>
        <v>Nivel de dificultad adecuado</v>
      </c>
      <c r="D31" s="8" t="str">
        <f>E25</f>
        <v>Calidad de los distractores</v>
      </c>
      <c r="E31" s="8" t="str">
        <f>E26</f>
        <v>Validez pedagógica</v>
      </c>
      <c r="F31" s="8" t="s">
        <v>173</v>
      </c>
    </row>
    <row r="32" spans="1:33" ht="15.75" customHeight="1" x14ac:dyDescent="0.4">
      <c r="A32" t="s">
        <v>191</v>
      </c>
      <c r="B32" cm="1">
        <f t="array" ref="B32:B36">TRANSPOSE(G23:K23)</f>
        <v>3.7</v>
      </c>
      <c r="C32" cm="1">
        <f t="array" ref="C32:C36">TRANSPOSE(G24:K24)</f>
        <v>3</v>
      </c>
      <c r="D32" cm="1">
        <f t="array" ref="D32:D36">TRANSPOSE(G25:K25)</f>
        <v>3.1</v>
      </c>
      <c r="E32" cm="1">
        <f t="array" ref="E32:E36">TRANSPOSE(G26:K26)</f>
        <v>3.2</v>
      </c>
      <c r="F32" cm="1">
        <f t="array" ref="F32:F36">TRANSPOSE(G27:K27)</f>
        <v>3.25</v>
      </c>
    </row>
    <row r="33" spans="1:6" ht="15.75" customHeight="1" x14ac:dyDescent="0.4">
      <c r="A33" t="s">
        <v>192</v>
      </c>
      <c r="B33">
        <v>4</v>
      </c>
      <c r="C33">
        <v>3.7</v>
      </c>
      <c r="D33">
        <v>3.9</v>
      </c>
      <c r="E33">
        <v>4.0999999999999996</v>
      </c>
      <c r="F33">
        <v>3.9249999999999998</v>
      </c>
    </row>
    <row r="34" spans="1:6" ht="15.75" customHeight="1" x14ac:dyDescent="0.4">
      <c r="A34" t="s">
        <v>193</v>
      </c>
      <c r="B34">
        <v>4</v>
      </c>
      <c r="C34">
        <v>3.7</v>
      </c>
      <c r="D34">
        <v>3.6</v>
      </c>
      <c r="E34">
        <v>4.3</v>
      </c>
      <c r="F34">
        <v>3.9000000000000004</v>
      </c>
    </row>
    <row r="35" spans="1:6" ht="15.75" customHeight="1" x14ac:dyDescent="0.4">
      <c r="A35" t="s">
        <v>194</v>
      </c>
      <c r="B35">
        <v>4.4000000000000004</v>
      </c>
      <c r="C35">
        <v>3.8</v>
      </c>
      <c r="D35">
        <v>3.9</v>
      </c>
      <c r="E35">
        <v>4.2</v>
      </c>
      <c r="F35">
        <v>4.0750000000000002</v>
      </c>
    </row>
    <row r="36" spans="1:6" ht="15.75" customHeight="1" x14ac:dyDescent="0.4">
      <c r="A36" t="s">
        <v>195</v>
      </c>
      <c r="B36">
        <v>3.8</v>
      </c>
      <c r="C36">
        <v>3.7</v>
      </c>
      <c r="D36">
        <v>3.5</v>
      </c>
      <c r="E36">
        <v>3.9</v>
      </c>
      <c r="F36">
        <v>3.7250000000000001</v>
      </c>
    </row>
    <row r="37" spans="1:6" ht="15.75" customHeight="1" x14ac:dyDescent="0.4">
      <c r="A37" t="s">
        <v>173</v>
      </c>
      <c r="B37">
        <f t="shared" ref="B37:E37" si="3">AVERAGE(_xlfn.ANCHORARRAY(B32))</f>
        <v>3.9800000000000004</v>
      </c>
      <c r="C37">
        <f t="shared" si="3"/>
        <v>3.5799999999999996</v>
      </c>
      <c r="D37">
        <f t="shared" si="3"/>
        <v>3.6</v>
      </c>
      <c r="E37">
        <f t="shared" si="3"/>
        <v>3.94</v>
      </c>
      <c r="F37" s="4">
        <f>AVERAGE(_xlfn.ANCHORARRAY(F32))</f>
        <v>3.7749999999999999</v>
      </c>
    </row>
  </sheetData>
  <mergeCells count="15">
    <mergeCell ref="E23:F23"/>
    <mergeCell ref="E24:F24"/>
    <mergeCell ref="E25:F25"/>
    <mergeCell ref="E26:F26"/>
    <mergeCell ref="E27:F27"/>
    <mergeCell ref="G1:J1"/>
    <mergeCell ref="K1:N1"/>
    <mergeCell ref="O1:R1"/>
    <mergeCell ref="S1:V1"/>
    <mergeCell ref="W1:Z1"/>
    <mergeCell ref="G2:J2"/>
    <mergeCell ref="K2:N2"/>
    <mergeCell ref="O2:R2"/>
    <mergeCell ref="S2:V2"/>
    <mergeCell ref="W2:Z2"/>
  </mergeCells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Graph</vt:lpstr>
      <vt:lpstr>Resp</vt:lpstr>
      <vt:lpstr>1Year</vt:lpstr>
      <vt:lpstr>1Year3</vt:lpstr>
      <vt:lpstr>3Year7</vt:lpstr>
      <vt:lpstr>ChatGPT</vt:lpstr>
      <vt:lpstr>Claude</vt:lpstr>
      <vt:lpstr>Gemini</vt:lpstr>
      <vt:lpstr>Mistral</vt:lpstr>
      <vt:lpstr>Qwen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Ricardo Rodríguez Vidal</cp:lastModifiedBy>
  <dcterms:modified xsi:type="dcterms:W3CDTF">2026-07-03T08:43:16Z</dcterms:modified>
</cp:coreProperties>
</file>